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echeverria\Desktop\formatos horas extras\"/>
    </mc:Choice>
  </mc:AlternateContent>
  <xr:revisionPtr revIDLastSave="0" documentId="13_ncr:1_{43962598-1786-4BA0-856A-C3E819B61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ficación mensual" sheetId="1" r:id="rId1"/>
    <sheet name="Hoja1" sheetId="2" state="hidden" r:id="rId2"/>
  </sheets>
  <definedNames>
    <definedName name="_xlnm.Print_Area" localSheetId="0">'Planificación mensual'!$A$1:$M$27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L22" i="1" l="1"/>
  <c r="N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MIREYA RIPALDA PROAÑO</author>
  </authors>
  <commentList>
    <comment ref="M10" authorId="0" shapeId="0" xr:uid="{2D7329CC-A064-493E-9087-713EB6B29C8B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LOSEP:</t>
        </r>
        <r>
          <rPr>
            <sz val="9"/>
            <color indexed="81"/>
            <rFont val="Tahoma"/>
            <family val="2"/>
          </rPr>
          <t xml:space="preserve"> Planificar hasta 20 horas al mes entre horas suplementarias y horas extraordinarias.
</t>
        </r>
        <r>
          <rPr>
            <b/>
            <sz val="9"/>
            <color indexed="81"/>
            <rFont val="Tahoma"/>
            <family val="2"/>
          </rPr>
          <t>Código de Trabajo:</t>
        </r>
        <r>
          <rPr>
            <sz val="9"/>
            <color indexed="81"/>
            <rFont val="Tahoma"/>
            <family val="2"/>
          </rPr>
          <t xml:space="preserve"> Planificar hasta 48 horas suplementarias al mes conforme necesidad institucional.
</t>
        </r>
      </text>
    </comment>
  </commentList>
</comments>
</file>

<file path=xl/sharedStrings.xml><?xml version="1.0" encoding="utf-8"?>
<sst xmlns="http://schemas.openxmlformats.org/spreadsheetml/2006/main" count="68" uniqueCount="67">
  <si>
    <t>UNIVERSIDAD DE INVESTIGACIÓN DE TECNOLOGÍA EXPERIMENTAL YACHAY</t>
  </si>
  <si>
    <r>
      <t>Código:</t>
    </r>
    <r>
      <rPr>
        <sz val="9"/>
        <color theme="1"/>
        <rFont val="Arial"/>
        <family val="2"/>
      </rPr>
      <t xml:space="preserve"> GTH-DGTH-PRD-003-FO-001</t>
    </r>
  </si>
  <si>
    <t>PLANIFICACIÓN MENSUAL DE ACTIVIDADES A EJECUTARSE EN HORAS SUPLEMENTARIAS Y EXTRAORDINARIAS</t>
  </si>
  <si>
    <t>Apellidos y Nombres del Servidor o Trabajador:</t>
  </si>
  <si>
    <t>No. Identificación:</t>
  </si>
  <si>
    <t>Régimen Laboral:</t>
  </si>
  <si>
    <t>Unidad Administrativa:</t>
  </si>
  <si>
    <t>Cargo:</t>
  </si>
  <si>
    <t>Año planificado:</t>
  </si>
  <si>
    <t>Mes planificado:</t>
  </si>
  <si>
    <t>Fecha de solicitud (dd/mmm/yyyy):</t>
  </si>
  <si>
    <t>No.</t>
  </si>
  <si>
    <t>ACTIVIDAD REGULAR DENTRO DE LA JORNADA LABORAL</t>
  </si>
  <si>
    <t>ACTIVIDAD PLANIFICADA FUERA DE LA JORNADA LABORAL</t>
  </si>
  <si>
    <t>TIEMPO APROXIMADO  HORAS SUPLEMENTARIAS</t>
  </si>
  <si>
    <t>TIEMPO APROXIMADO HORAS EXTRAORDINARIAS</t>
  </si>
  <si>
    <t>hghfgh</t>
  </si>
  <si>
    <t>Justificación:</t>
  </si>
  <si>
    <t>SUBTOTALES:</t>
  </si>
  <si>
    <t>TOTAL HORAS:</t>
  </si>
  <si>
    <t xml:space="preserve">
</t>
  </si>
  <si>
    <t>ELABORADO POR:</t>
  </si>
  <si>
    <t>REVISADO Y APROBADO POR:</t>
  </si>
  <si>
    <t>Nombre del Servidor / Trabajador</t>
  </si>
  <si>
    <t>Nombre del Jefe Inmediato</t>
  </si>
  <si>
    <t>Cargo</t>
  </si>
  <si>
    <t>Coordinación General Administrativa Financiera</t>
  </si>
  <si>
    <t>Enero</t>
  </si>
  <si>
    <t>Servicio Civil Público (Losep)</t>
  </si>
  <si>
    <t>Dirección  de Relaciones Internacionales</t>
  </si>
  <si>
    <t>Febrero</t>
  </si>
  <si>
    <t>Código del Trabajo</t>
  </si>
  <si>
    <t>Dirección de Acreditacion y Aseguramiento de la Calidad</t>
  </si>
  <si>
    <t>Marzo</t>
  </si>
  <si>
    <t>Dirección de Bibliotecas</t>
  </si>
  <si>
    <t>Abril</t>
  </si>
  <si>
    <t>Dirección de Comunicación y Promoción</t>
  </si>
  <si>
    <t>Mayo</t>
  </si>
  <si>
    <t>Dirección de Idiomas</t>
  </si>
  <si>
    <t>Junio</t>
  </si>
  <si>
    <t>Dirección de Vinculación con la Sociedad</t>
  </si>
  <si>
    <t>Julio</t>
  </si>
  <si>
    <t>Dirección General Administrativa</t>
  </si>
  <si>
    <t>Agosto</t>
  </si>
  <si>
    <t>Dirección General de Bienestar Universitario</t>
  </si>
  <si>
    <t>Septiembre</t>
  </si>
  <si>
    <t>Dirección General de Investigación e Innovación</t>
  </si>
  <si>
    <t>Octubre</t>
  </si>
  <si>
    <t>Dirección General de Planificación y Procesos</t>
  </si>
  <si>
    <t>Noviembre</t>
  </si>
  <si>
    <t>Dirección General de Posgrados</t>
  </si>
  <si>
    <t>Diciembre</t>
  </si>
  <si>
    <t>Dirección General de Servicios Académicos</t>
  </si>
  <si>
    <t>Dirección General de Talento Humano</t>
  </si>
  <si>
    <t>Dirección General de Tecnologías de la Información y Comunicaciones</t>
  </si>
  <si>
    <t>Dirección General Financiera</t>
  </si>
  <si>
    <t>Dirección General Jurídica</t>
  </si>
  <si>
    <t>Escuela de Ciencias Agropecuarias y Agroindustriales</t>
  </si>
  <si>
    <t>Escuela de Ciencias Biológicas e Ingeniería</t>
  </si>
  <si>
    <t>Escuela de Ciencias de la Tierra, Energía y Ambiente</t>
  </si>
  <si>
    <t>Escuela de Ciencias Físicas y Nanotecnología</t>
  </si>
  <si>
    <t>Escuela de Ciencias Matemáticas y Computacionales</t>
  </si>
  <si>
    <t>Escuela de Ciencias Químicas e Ingeniería</t>
  </si>
  <si>
    <t>Rectorado</t>
  </si>
  <si>
    <t>Secretaria General</t>
  </si>
  <si>
    <t>Vicerrectorado Académico</t>
  </si>
  <si>
    <t>Vicerrectorado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</si>
</sst>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2628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hidden="1"/>
    </xf>
    <xf numFmtId="1" fontId="4" fillId="0" borderId="10" xfId="0" applyNumberFormat="1" applyFont="1" applyBorder="1" applyAlignment="1" applyProtection="1">
      <alignment horizontal="center" vertical="center" wrapText="1"/>
      <protection locked="0"/>
    </xf>
    <xf numFmtId="1" fontId="4" fillId="0" borderId="15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wrapText="1"/>
      <protection locked="0"/>
    </xf>
    <xf numFmtId="0" fontId="2" fillId="0" borderId="0" xfId="0" applyFont="1" applyProtection="1">
      <protection locked="0"/>
    </xf>
    <xf numFmtId="0" fontId="2" fillId="0" borderId="13" xfId="0" applyFont="1" applyBorder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20" fillId="0" borderId="13" xfId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22" fillId="0" borderId="0" xfId="0" applyFont="1"/>
    <xf numFmtId="0" fontId="6" fillId="0" borderId="0" xfId="0" applyFont="1" applyAlignment="1">
      <alignment horizontal="center" vertical="center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1" fontId="4" fillId="0" borderId="27" xfId="0" applyNumberFormat="1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vertical="center"/>
      <protection locked="0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right" vertical="center" wrapText="1"/>
    </xf>
    <xf numFmtId="0" fontId="17" fillId="2" borderId="23" xfId="0" applyFont="1" applyFill="1" applyBorder="1" applyAlignment="1">
      <alignment horizontal="right" vertical="center" wrapText="1"/>
    </xf>
    <xf numFmtId="0" fontId="7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5" fillId="0" borderId="20" xfId="0" applyFont="1" applyBorder="1" applyAlignment="1" applyProtection="1">
      <alignment horizontal="left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left" vertical="center"/>
      <protection locked="0"/>
    </xf>
    <xf numFmtId="0" fontId="19" fillId="0" borderId="20" xfId="0" applyFont="1" applyBorder="1" applyAlignment="1" applyProtection="1">
      <alignment horizontal="left" vertical="center"/>
      <protection locked="0"/>
    </xf>
    <xf numFmtId="49" fontId="21" fillId="0" borderId="2" xfId="0" applyNumberFormat="1" applyFont="1" applyBorder="1" applyAlignment="1" applyProtection="1">
      <alignment horizontal="left" vertical="center"/>
      <protection locked="0"/>
    </xf>
    <xf numFmtId="49" fontId="21" fillId="0" borderId="31" xfId="0" applyNumberFormat="1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right" vertical="center"/>
    </xf>
    <xf numFmtId="0" fontId="23" fillId="0" borderId="6" xfId="0" applyFont="1" applyBorder="1" applyAlignment="1">
      <alignment horizontal="right" vertical="center"/>
    </xf>
    <xf numFmtId="0" fontId="20" fillId="0" borderId="0" xfId="1" applyFont="1" applyAlignment="1" applyProtection="1">
      <alignment horizontal="center" wrapText="1"/>
      <protection locked="0"/>
    </xf>
    <xf numFmtId="0" fontId="20" fillId="0" borderId="0" xfId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left" vertical="center" wrapText="1"/>
      <protection locked="0"/>
    </xf>
    <xf numFmtId="0" fontId="5" fillId="0" borderId="26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0" fillId="0" borderId="14" xfId="1" applyFont="1" applyBorder="1" applyAlignment="1" applyProtection="1">
      <alignment horizont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32" xfId="0" applyNumberFormat="1" applyFont="1" applyBorder="1" applyAlignment="1" applyProtection="1">
      <alignment horizontal="center" vertical="center"/>
      <protection locked="0"/>
    </xf>
    <xf numFmtId="1" fontId="15" fillId="0" borderId="11" xfId="0" applyNumberFormat="1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12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21" fillId="0" borderId="1" xfId="0" applyNumberFormat="1" applyFont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3" fillId="2" borderId="19" xfId="0" applyFont="1" applyFill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8" fillId="2" borderId="17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4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26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685800</xdr:colOff>
      <xdr:row>0</xdr:row>
      <xdr:rowOff>0</xdr:rowOff>
    </xdr:to>
    <xdr:pic>
      <xdr:nvPicPr>
        <xdr:cNvPr id="1080" name="Picture 2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914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19051</xdr:colOff>
      <xdr:row>0</xdr:row>
      <xdr:rowOff>22028</xdr:rowOff>
    </xdr:from>
    <xdr:to>
      <xdr:col>4</xdr:col>
      <xdr:colOff>257176</xdr:colOff>
      <xdr:row>3</xdr:row>
      <xdr:rowOff>171516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2A9AB-618B-472A-9860-C30F87B14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22028"/>
          <a:ext cx="2952750" cy="740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O27"/>
  <sheetViews>
    <sheetView showGridLines="0" tabSelected="1" zoomScale="80" zoomScaleNormal="80" zoomScaleSheetLayoutView="80" workbookViewId="0">
      <selection activeCell="F24" sqref="F24:G24"/>
    </sheetView>
  </sheetViews>
  <sheetFormatPr defaultColWidth="8.7109375" defaultRowHeight="14.45"/>
  <cols>
    <col min="1" max="1" width="4.28515625" customWidth="1"/>
    <col min="2" max="2" width="3.7109375" customWidth="1"/>
    <col min="3" max="3" width="12.5703125" customWidth="1"/>
    <col min="4" max="4" width="19.28515625" customWidth="1"/>
    <col min="5" max="5" width="10" customWidth="1"/>
    <col min="6" max="6" width="19.85546875" customWidth="1"/>
    <col min="7" max="7" width="15.28515625" customWidth="1"/>
    <col min="8" max="8" width="17.42578125" customWidth="1"/>
    <col min="9" max="9" width="22.7109375" customWidth="1"/>
    <col min="10" max="10" width="18.7109375" customWidth="1"/>
    <col min="11" max="12" width="23" customWidth="1"/>
    <col min="13" max="13" width="23.7109375" customWidth="1"/>
    <col min="14" max="14" width="17.85546875" style="6" customWidth="1"/>
    <col min="15" max="259" width="11.42578125" customWidth="1"/>
  </cols>
  <sheetData>
    <row r="1" spans="1:14" ht="15" customHeight="1">
      <c r="B1" s="34"/>
      <c r="C1" s="34"/>
      <c r="D1" s="34"/>
      <c r="E1" s="59" t="s">
        <v>0</v>
      </c>
      <c r="F1" s="59"/>
      <c r="G1" s="59"/>
      <c r="H1" s="59"/>
      <c r="I1" s="59"/>
      <c r="J1" s="59"/>
      <c r="K1" s="59"/>
      <c r="L1" s="61" t="s">
        <v>1</v>
      </c>
      <c r="M1" s="62"/>
      <c r="N1" s="3"/>
    </row>
    <row r="2" spans="1:14" ht="15.75" customHeight="1">
      <c r="A2" s="35"/>
      <c r="B2" s="36"/>
      <c r="C2" s="36"/>
      <c r="D2" s="36"/>
      <c r="E2" s="60"/>
      <c r="F2" s="60"/>
      <c r="G2" s="60"/>
      <c r="H2" s="60"/>
      <c r="I2" s="60"/>
      <c r="J2" s="60"/>
      <c r="K2" s="60"/>
      <c r="L2" s="36"/>
      <c r="M2" s="37"/>
      <c r="N2" s="3"/>
    </row>
    <row r="3" spans="1:14" ht="15.75" customHeight="1">
      <c r="A3" s="43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  <c r="N3" s="4"/>
    </row>
    <row r="4" spans="1:14" ht="15.75" customHeight="1" thickBot="1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  <c r="N4" s="4"/>
    </row>
    <row r="5" spans="1:14" ht="13.9" customHeight="1" thickBo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ht="21" customHeight="1">
      <c r="A6" s="57" t="s">
        <v>3</v>
      </c>
      <c r="B6" s="58"/>
      <c r="C6" s="58"/>
      <c r="D6" s="58"/>
      <c r="E6" s="58"/>
      <c r="F6" s="56"/>
      <c r="G6" s="56"/>
      <c r="H6" s="56"/>
      <c r="I6" s="56"/>
      <c r="J6" s="29" t="s">
        <v>4</v>
      </c>
      <c r="K6" s="54"/>
      <c r="L6" s="54"/>
      <c r="M6" s="55"/>
      <c r="N6" s="7"/>
    </row>
    <row r="7" spans="1:14" ht="21" customHeight="1">
      <c r="A7" s="49" t="s">
        <v>5</v>
      </c>
      <c r="B7" s="50"/>
      <c r="C7" s="50"/>
      <c r="D7" s="53"/>
      <c r="E7" s="53"/>
      <c r="F7" s="53"/>
      <c r="G7" s="53"/>
      <c r="H7" s="50" t="s">
        <v>6</v>
      </c>
      <c r="I7" s="50"/>
      <c r="J7" s="51"/>
      <c r="K7" s="51"/>
      <c r="L7" s="51"/>
      <c r="M7" s="52"/>
      <c r="N7" s="7"/>
    </row>
    <row r="8" spans="1:14" ht="21" customHeight="1" thickBot="1">
      <c r="A8" s="85" t="s">
        <v>7</v>
      </c>
      <c r="B8" s="86"/>
      <c r="C8" s="87"/>
      <c r="D8" s="87"/>
      <c r="E8" s="87"/>
      <c r="F8" s="30" t="s">
        <v>8</v>
      </c>
      <c r="G8" s="12"/>
      <c r="H8" s="30" t="s">
        <v>9</v>
      </c>
      <c r="I8" s="28"/>
      <c r="J8" s="86" t="s">
        <v>10</v>
      </c>
      <c r="K8" s="86"/>
      <c r="L8" s="71"/>
      <c r="M8" s="72"/>
      <c r="N8" s="7"/>
    </row>
    <row r="9" spans="1:14" ht="6.75" customHeight="1" thickBot="1">
      <c r="A9" s="92"/>
      <c r="B9" s="93"/>
      <c r="C9" s="93"/>
      <c r="D9" s="93"/>
      <c r="E9" s="93"/>
      <c r="F9" s="93"/>
      <c r="G9" s="93"/>
      <c r="H9" s="93"/>
      <c r="I9" s="93"/>
      <c r="J9" s="93"/>
      <c r="K9" s="94"/>
      <c r="L9" s="21"/>
      <c r="M9" s="1"/>
      <c r="N9" s="7"/>
    </row>
    <row r="10" spans="1:14" ht="48.75" customHeight="1" thickBot="1">
      <c r="A10" s="88" t="s">
        <v>11</v>
      </c>
      <c r="B10" s="89"/>
      <c r="C10" s="95" t="s">
        <v>12</v>
      </c>
      <c r="D10" s="95"/>
      <c r="E10" s="95"/>
      <c r="F10" s="95"/>
      <c r="G10" s="95"/>
      <c r="H10" s="95" t="s">
        <v>13</v>
      </c>
      <c r="I10" s="95"/>
      <c r="J10" s="95"/>
      <c r="K10" s="95"/>
      <c r="L10" s="31" t="s">
        <v>14</v>
      </c>
      <c r="M10" s="31" t="s">
        <v>15</v>
      </c>
    </row>
    <row r="11" spans="1:14" ht="40.15" customHeight="1">
      <c r="A11" s="90">
        <v>1</v>
      </c>
      <c r="B11" s="91"/>
      <c r="C11" s="67"/>
      <c r="D11" s="67"/>
      <c r="E11" s="67"/>
      <c r="F11" s="67"/>
      <c r="G11" s="67"/>
      <c r="H11" s="67"/>
      <c r="I11" s="67"/>
      <c r="J11" s="67"/>
      <c r="K11" s="67"/>
      <c r="L11" s="24"/>
      <c r="M11" s="25"/>
    </row>
    <row r="12" spans="1:14" ht="40.15" customHeight="1">
      <c r="A12" s="39">
        <v>2</v>
      </c>
      <c r="B12" s="40"/>
      <c r="C12" s="38"/>
      <c r="D12" s="38"/>
      <c r="E12" s="38"/>
      <c r="F12" s="38"/>
      <c r="G12" s="38"/>
      <c r="H12" s="38"/>
      <c r="I12" s="38"/>
      <c r="J12" s="38"/>
      <c r="K12" s="38"/>
      <c r="L12" s="22"/>
      <c r="M12" s="9"/>
    </row>
    <row r="13" spans="1:14" ht="40.15" customHeight="1">
      <c r="A13" s="39">
        <v>3</v>
      </c>
      <c r="B13" s="40"/>
      <c r="C13" s="38"/>
      <c r="D13" s="38"/>
      <c r="E13" s="38"/>
      <c r="F13" s="38"/>
      <c r="G13" s="38"/>
      <c r="H13" s="38"/>
      <c r="I13" s="38"/>
      <c r="J13" s="38"/>
      <c r="K13" s="38"/>
      <c r="L13" s="22"/>
      <c r="M13" s="9"/>
    </row>
    <row r="14" spans="1:14" ht="40.15" customHeight="1">
      <c r="A14" s="39">
        <v>4</v>
      </c>
      <c r="B14" s="40"/>
      <c r="C14" s="38"/>
      <c r="D14" s="38"/>
      <c r="E14" s="38"/>
      <c r="F14" s="38"/>
      <c r="G14" s="38"/>
      <c r="H14" s="38"/>
      <c r="I14" s="38"/>
      <c r="J14" s="38"/>
      <c r="K14" s="38"/>
      <c r="L14" s="22"/>
      <c r="M14" s="9"/>
    </row>
    <row r="15" spans="1:14" ht="40.15" customHeight="1">
      <c r="A15" s="39">
        <v>5</v>
      </c>
      <c r="B15" s="40"/>
      <c r="C15" s="38"/>
      <c r="D15" s="38"/>
      <c r="E15" s="38"/>
      <c r="F15" s="38"/>
      <c r="G15" s="38"/>
      <c r="H15" s="38"/>
      <c r="I15" s="38"/>
      <c r="J15" s="38"/>
      <c r="K15" s="38"/>
      <c r="L15" s="22"/>
      <c r="M15" s="9"/>
    </row>
    <row r="16" spans="1:14" ht="40.15" customHeight="1">
      <c r="A16" s="39">
        <v>6</v>
      </c>
      <c r="B16" s="40"/>
      <c r="C16" s="38"/>
      <c r="D16" s="38"/>
      <c r="E16" s="38"/>
      <c r="F16" s="38"/>
      <c r="G16" s="38"/>
      <c r="H16" s="38"/>
      <c r="I16" s="38"/>
      <c r="J16" s="38"/>
      <c r="K16" s="38"/>
      <c r="L16" s="22"/>
      <c r="M16" s="9"/>
    </row>
    <row r="17" spans="1:15" ht="40.15" customHeight="1">
      <c r="A17" s="39">
        <v>7</v>
      </c>
      <c r="B17" s="40"/>
      <c r="C17" s="38"/>
      <c r="D17" s="38"/>
      <c r="E17" s="38"/>
      <c r="F17" s="38"/>
      <c r="G17" s="38"/>
      <c r="H17" s="38"/>
      <c r="I17" s="38"/>
      <c r="J17" s="38"/>
      <c r="K17" s="38"/>
      <c r="L17" s="22"/>
      <c r="M17" s="9"/>
    </row>
    <row r="18" spans="1:15" ht="40.15" customHeight="1">
      <c r="A18" s="39">
        <v>8</v>
      </c>
      <c r="B18" s="40"/>
      <c r="C18" s="38"/>
      <c r="D18" s="38"/>
      <c r="E18" s="38"/>
      <c r="F18" s="38"/>
      <c r="G18" s="38"/>
      <c r="H18" s="38"/>
      <c r="I18" s="38"/>
      <c r="J18" s="38"/>
      <c r="K18" s="38"/>
      <c r="L18" s="22"/>
      <c r="M18" s="9"/>
    </row>
    <row r="19" spans="1:15" ht="40.15" customHeight="1">
      <c r="A19" s="39">
        <v>9</v>
      </c>
      <c r="B19" s="40"/>
      <c r="C19" s="38"/>
      <c r="D19" s="38"/>
      <c r="E19" s="38"/>
      <c r="F19" s="38"/>
      <c r="G19" s="38"/>
      <c r="H19" s="38" t="s">
        <v>16</v>
      </c>
      <c r="I19" s="38"/>
      <c r="J19" s="38"/>
      <c r="K19" s="38"/>
      <c r="L19" s="22"/>
      <c r="M19" s="9"/>
    </row>
    <row r="20" spans="1:15" ht="40.15" customHeight="1" thickBot="1">
      <c r="A20" s="41">
        <v>10</v>
      </c>
      <c r="B20" s="42"/>
      <c r="C20" s="66"/>
      <c r="D20" s="66"/>
      <c r="E20" s="66"/>
      <c r="F20" s="66"/>
      <c r="G20" s="66"/>
      <c r="H20" s="66"/>
      <c r="I20" s="66"/>
      <c r="J20" s="66"/>
      <c r="K20" s="66"/>
      <c r="L20" s="23"/>
      <c r="M20" s="10"/>
    </row>
    <row r="21" spans="1:15" ht="40.15" customHeight="1" thickBot="1">
      <c r="A21" s="75" t="s">
        <v>17</v>
      </c>
      <c r="B21" s="76"/>
      <c r="C21" s="77"/>
      <c r="D21" s="81"/>
      <c r="E21" s="81"/>
      <c r="F21" s="81"/>
      <c r="G21" s="81"/>
      <c r="H21" s="81"/>
      <c r="I21" s="81"/>
      <c r="J21" s="82"/>
      <c r="K21" s="32" t="s">
        <v>18</v>
      </c>
      <c r="L21" s="26">
        <f>SUM(L11:L20)</f>
        <v>0</v>
      </c>
      <c r="M21" s="27">
        <f>SUM(M11:M20)</f>
        <v>0</v>
      </c>
    </row>
    <row r="22" spans="1:15" ht="50.45" customHeight="1" thickBot="1">
      <c r="A22" s="78"/>
      <c r="B22" s="79"/>
      <c r="C22" s="80"/>
      <c r="D22" s="83"/>
      <c r="E22" s="83"/>
      <c r="F22" s="83"/>
      <c r="G22" s="83"/>
      <c r="H22" s="83"/>
      <c r="I22" s="83"/>
      <c r="J22" s="84"/>
      <c r="K22" s="33" t="s">
        <v>19</v>
      </c>
      <c r="L22" s="73">
        <f>L21+M21</f>
        <v>0</v>
      </c>
      <c r="M22" s="74"/>
      <c r="N22" s="8" t="str">
        <f>IF(AND(D7="Servicio Civil Público (Losep)",L22&gt;20),"¡NO PASAR LAS 20 HORAS!",IF(OR(D7="Código de Trabajo",L21&gt;48),"¡NO PASAR LAS 48 HORAS SUPLEMENTARIAS!","¡LISTO!"))</f>
        <v>¡LISTO!</v>
      </c>
      <c r="O22" s="20"/>
    </row>
    <row r="23" spans="1:15" ht="80.45" customHeight="1">
      <c r="A23" s="14"/>
      <c r="B23" s="14"/>
      <c r="C23" s="63" t="s">
        <v>20</v>
      </c>
      <c r="D23" s="63"/>
      <c r="E23" s="63"/>
      <c r="F23" s="18"/>
      <c r="G23" s="18"/>
      <c r="H23" s="13"/>
      <c r="I23" s="13"/>
      <c r="J23" s="15"/>
      <c r="K23" s="15"/>
      <c r="L23" s="14"/>
      <c r="M23" s="14"/>
    </row>
    <row r="24" spans="1:15" ht="14.65" customHeight="1">
      <c r="A24" s="16"/>
      <c r="B24" s="16"/>
      <c r="C24" s="64"/>
      <c r="D24" s="64"/>
      <c r="E24" s="64"/>
      <c r="F24" s="70" t="s">
        <v>21</v>
      </c>
      <c r="G24" s="70"/>
      <c r="H24" s="14"/>
      <c r="I24" s="14"/>
      <c r="J24" s="68" t="s">
        <v>22</v>
      </c>
      <c r="K24" s="68"/>
      <c r="L24" s="19"/>
      <c r="M24" s="14"/>
    </row>
    <row r="25" spans="1:15" ht="18" customHeight="1">
      <c r="A25" s="17"/>
      <c r="B25" s="17"/>
      <c r="C25" s="63"/>
      <c r="D25" s="63"/>
      <c r="E25" s="63"/>
      <c r="F25" s="65" t="s">
        <v>23</v>
      </c>
      <c r="G25" s="65"/>
      <c r="H25" s="14"/>
      <c r="I25" s="14"/>
      <c r="J25" s="65" t="s">
        <v>24</v>
      </c>
      <c r="K25" s="65"/>
      <c r="L25" s="19"/>
      <c r="M25" s="14"/>
    </row>
    <row r="26" spans="1:15" ht="18" customHeight="1">
      <c r="A26" s="17"/>
      <c r="B26" s="17"/>
      <c r="C26" s="69"/>
      <c r="D26" s="69"/>
      <c r="E26" s="69"/>
      <c r="F26" s="65" t="s">
        <v>25</v>
      </c>
      <c r="G26" s="65"/>
      <c r="H26" s="14"/>
      <c r="I26" s="14"/>
      <c r="J26" s="65" t="s">
        <v>25</v>
      </c>
      <c r="K26" s="65"/>
      <c r="L26" s="19"/>
      <c r="M26" s="14"/>
    </row>
    <row r="27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</sheetData>
  <sheetProtection sheet="1" selectLockedCells="1"/>
  <mergeCells count="61">
    <mergeCell ref="L8:M8"/>
    <mergeCell ref="L22:M22"/>
    <mergeCell ref="A21:C22"/>
    <mergeCell ref="D21:J22"/>
    <mergeCell ref="C15:G15"/>
    <mergeCell ref="C16:G16"/>
    <mergeCell ref="A8:B8"/>
    <mergeCell ref="C8:E8"/>
    <mergeCell ref="A10:B10"/>
    <mergeCell ref="A11:B11"/>
    <mergeCell ref="A12:B12"/>
    <mergeCell ref="A9:K9"/>
    <mergeCell ref="J8:K8"/>
    <mergeCell ref="C10:G10"/>
    <mergeCell ref="H10:K10"/>
    <mergeCell ref="C11:G11"/>
    <mergeCell ref="C13:G13"/>
    <mergeCell ref="C14:G14"/>
    <mergeCell ref="J26:K26"/>
    <mergeCell ref="J24:K24"/>
    <mergeCell ref="C26:E26"/>
    <mergeCell ref="F24:G24"/>
    <mergeCell ref="F25:G25"/>
    <mergeCell ref="F26:G26"/>
    <mergeCell ref="E1:K2"/>
    <mergeCell ref="L1:M1"/>
    <mergeCell ref="C23:E23"/>
    <mergeCell ref="C25:E25"/>
    <mergeCell ref="C24:E24"/>
    <mergeCell ref="J25:K25"/>
    <mergeCell ref="H7:I7"/>
    <mergeCell ref="C20:G20"/>
    <mergeCell ref="H11:K11"/>
    <mergeCell ref="H12:K12"/>
    <mergeCell ref="H13:K13"/>
    <mergeCell ref="H14:K14"/>
    <mergeCell ref="H15:K15"/>
    <mergeCell ref="H16:K16"/>
    <mergeCell ref="H20:K20"/>
    <mergeCell ref="C12:G12"/>
    <mergeCell ref="A3:M4"/>
    <mergeCell ref="A7:C7"/>
    <mergeCell ref="J7:M7"/>
    <mergeCell ref="D7:G7"/>
    <mergeCell ref="K6:M6"/>
    <mergeCell ref="F6:I6"/>
    <mergeCell ref="A6:E6"/>
    <mergeCell ref="A13:B13"/>
    <mergeCell ref="A14:B14"/>
    <mergeCell ref="A15:B15"/>
    <mergeCell ref="A16:B16"/>
    <mergeCell ref="A20:B20"/>
    <mergeCell ref="A17:B17"/>
    <mergeCell ref="A19:B19"/>
    <mergeCell ref="C19:G19"/>
    <mergeCell ref="H19:K19"/>
    <mergeCell ref="C17:G17"/>
    <mergeCell ref="H17:K17"/>
    <mergeCell ref="A18:B18"/>
    <mergeCell ref="C18:G18"/>
    <mergeCell ref="H18:K18"/>
  </mergeCells>
  <phoneticPr fontId="8" type="noConversion"/>
  <conditionalFormatting sqref="N22">
    <cfRule type="containsText" dxfId="2" priority="1" operator="containsText" text="LISTO">
      <formula>NOT(ISERROR(SEARCH("LISTO",N22)))</formula>
    </cfRule>
    <cfRule type="cellIs" dxfId="1" priority="3" operator="equal">
      <formula>"¡NO PASAR LAS 48 HORAS SUPLEMENTARIAS!"</formula>
    </cfRule>
    <cfRule type="cellIs" dxfId="0" priority="4" operator="equal">
      <formula>"¡NO PASAR LAS 20 HORAS!"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8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0000000}">
          <x14:formula1>
            <xm:f>Hoja1!$D$4:$D$30</xm:f>
          </x14:formula1>
          <xm:sqref>J7:M7</xm:sqref>
        </x14:dataValidation>
        <x14:dataValidation type="list" allowBlank="1" showInputMessage="1" showErrorMessage="1" xr:uid="{00000000-0002-0000-0000-000004000000}">
          <x14:formula1>
            <xm:f>Hoja1!$G$4:$G$5</xm:f>
          </x14:formula1>
          <xm:sqref>D7</xm:sqref>
        </x14:dataValidation>
        <x14:dataValidation type="list" allowBlank="1" showInputMessage="1" showErrorMessage="1" xr:uid="{5F825285-E877-4192-9426-AC69D8F740B4}">
          <x14:formula1>
            <xm:f>Hoja1!$E$4:$E$9</xm:f>
          </x14:formula1>
          <xm:sqref>G8</xm:sqref>
        </x14:dataValidation>
        <x14:dataValidation type="list" allowBlank="1" showInputMessage="1" showErrorMessage="1" xr:uid="{5A595874-94D2-43C5-AE25-03FAAC06F795}">
          <x14:formula1>
            <xm:f>Hoja1!$F$4:$F$15</xm:f>
          </x14:formula1>
          <xm:sqref>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FF17-717A-4FED-B28C-EF96DEDE760D}">
  <dimension ref="D4:G30"/>
  <sheetViews>
    <sheetView topLeftCell="A2" workbookViewId="0">
      <selection activeCell="E11" sqref="E11"/>
    </sheetView>
  </sheetViews>
  <sheetFormatPr defaultColWidth="11.5703125" defaultRowHeight="14.45"/>
  <cols>
    <col min="1" max="3" width="11.5703125" style="5"/>
    <col min="4" max="4" width="59.85546875" style="5" bestFit="1" customWidth="1"/>
    <col min="5" max="6" width="11.5703125" style="5"/>
    <col min="7" max="7" width="24" style="5" bestFit="1" customWidth="1"/>
    <col min="8" max="16384" width="11.5703125" style="5"/>
  </cols>
  <sheetData>
    <row r="4" spans="4:7">
      <c r="D4" s="5" t="s">
        <v>26</v>
      </c>
      <c r="E4" s="5">
        <v>2025</v>
      </c>
      <c r="F4" s="5" t="s">
        <v>27</v>
      </c>
      <c r="G4" s="5" t="s">
        <v>28</v>
      </c>
    </row>
    <row r="5" spans="4:7">
      <c r="D5" s="5" t="s">
        <v>29</v>
      </c>
      <c r="E5" s="5">
        <v>2026</v>
      </c>
      <c r="F5" s="5" t="s">
        <v>30</v>
      </c>
      <c r="G5" s="5" t="s">
        <v>31</v>
      </c>
    </row>
    <row r="6" spans="4:7">
      <c r="D6" s="5" t="s">
        <v>32</v>
      </c>
      <c r="E6" s="5">
        <v>2027</v>
      </c>
      <c r="F6" s="5" t="s">
        <v>33</v>
      </c>
    </row>
    <row r="7" spans="4:7">
      <c r="D7" s="5" t="s">
        <v>34</v>
      </c>
      <c r="E7" s="5">
        <v>2028</v>
      </c>
      <c r="F7" s="5" t="s">
        <v>35</v>
      </c>
    </row>
    <row r="8" spans="4:7">
      <c r="D8" s="5" t="s">
        <v>36</v>
      </c>
      <c r="E8" s="5">
        <v>2029</v>
      </c>
      <c r="F8" s="5" t="s">
        <v>37</v>
      </c>
    </row>
    <row r="9" spans="4:7">
      <c r="D9" s="5" t="s">
        <v>38</v>
      </c>
      <c r="E9" s="5">
        <v>2030</v>
      </c>
      <c r="F9" s="5" t="s">
        <v>39</v>
      </c>
    </row>
    <row r="10" spans="4:7">
      <c r="D10" s="5" t="s">
        <v>40</v>
      </c>
      <c r="F10" s="5" t="s">
        <v>41</v>
      </c>
    </row>
    <row r="11" spans="4:7">
      <c r="D11" s="5" t="s">
        <v>42</v>
      </c>
      <c r="F11" s="5" t="s">
        <v>43</v>
      </c>
    </row>
    <row r="12" spans="4:7">
      <c r="D12" s="5" t="s">
        <v>44</v>
      </c>
      <c r="F12" s="5" t="s">
        <v>45</v>
      </c>
    </row>
    <row r="13" spans="4:7">
      <c r="D13" s="5" t="s">
        <v>46</v>
      </c>
      <c r="F13" s="5" t="s">
        <v>47</v>
      </c>
    </row>
    <row r="14" spans="4:7">
      <c r="D14" s="5" t="s">
        <v>48</v>
      </c>
      <c r="F14" s="5" t="s">
        <v>49</v>
      </c>
    </row>
    <row r="15" spans="4:7">
      <c r="D15" s="5" t="s">
        <v>50</v>
      </c>
      <c r="F15" s="5" t="s">
        <v>51</v>
      </c>
    </row>
    <row r="16" spans="4:7">
      <c r="D16" s="5" t="s">
        <v>52</v>
      </c>
    </row>
    <row r="17" spans="4:4">
      <c r="D17" s="5" t="s">
        <v>53</v>
      </c>
    </row>
    <row r="18" spans="4:4">
      <c r="D18" s="5" t="s">
        <v>54</v>
      </c>
    </row>
    <row r="19" spans="4:4">
      <c r="D19" s="5" t="s">
        <v>55</v>
      </c>
    </row>
    <row r="20" spans="4:4">
      <c r="D20" s="5" t="s">
        <v>56</v>
      </c>
    </row>
    <row r="21" spans="4:4">
      <c r="D21" s="5" t="s">
        <v>57</v>
      </c>
    </row>
    <row r="22" spans="4:4">
      <c r="D22" s="5" t="s">
        <v>58</v>
      </c>
    </row>
    <row r="23" spans="4:4">
      <c r="D23" s="5" t="s">
        <v>59</v>
      </c>
    </row>
    <row r="24" spans="4:4">
      <c r="D24" s="5" t="s">
        <v>60</v>
      </c>
    </row>
    <row r="25" spans="4:4">
      <c r="D25" s="5" t="s">
        <v>61</v>
      </c>
    </row>
    <row r="26" spans="4:4">
      <c r="D26" s="5" t="s">
        <v>62</v>
      </c>
    </row>
    <row r="27" spans="4:4">
      <c r="D27" s="5" t="s">
        <v>63</v>
      </c>
    </row>
    <row r="28" spans="4:4">
      <c r="D28" s="5" t="s">
        <v>64</v>
      </c>
    </row>
    <row r="29" spans="4:4">
      <c r="D29" s="5" t="s">
        <v>65</v>
      </c>
    </row>
    <row r="30" spans="4:4">
      <c r="D30" s="5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E455A26A-D2B6-467C-8403-E78F1864D67D}"/>
</file>

<file path=customXml/itemProps2.xml><?xml version="1.0" encoding="utf-8"?>
<ds:datastoreItem xmlns:ds="http://schemas.openxmlformats.org/officeDocument/2006/customXml" ds:itemID="{7E059BFF-6C2E-4DD8-8055-2B339797855D}"/>
</file>

<file path=customXml/itemProps3.xml><?xml version="1.0" encoding="utf-8"?>
<ds:datastoreItem xmlns:ds="http://schemas.openxmlformats.org/officeDocument/2006/customXml" ds:itemID="{AAE01AAA-B086-4C97-8B0B-97E26EE95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Navas</dc:creator>
  <cp:keywords/>
  <dc:description/>
  <cp:lastModifiedBy>CARLA ANDREA BARRAGAN MONTERO</cp:lastModifiedBy>
  <cp:revision/>
  <dcterms:created xsi:type="dcterms:W3CDTF">2022-04-27T14:45:41Z</dcterms:created>
  <dcterms:modified xsi:type="dcterms:W3CDTF">2025-08-15T15:10:37Z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MediaServiceImageTags">
    <vt:lpwstr/>
  </property>
</Properties>
</file>