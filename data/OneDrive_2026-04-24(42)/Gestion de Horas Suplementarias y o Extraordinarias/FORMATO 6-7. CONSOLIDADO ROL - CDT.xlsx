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yachaytecheduec.sharepoint.com/sites/calidad/repo_doc/drc_est/proinst/Borradores/Gestión Talento Humano/Pago horas extras/FORMATOS/"/>
    </mc:Choice>
  </mc:AlternateContent>
  <xr:revisionPtr revIDLastSave="7" documentId="13_ncr:1_{8F2B5031-F904-4E64-8757-4D36AC354C51}" xr6:coauthVersionLast="47" xr6:coauthVersionMax="47" xr10:uidLastSave="{53EA1968-4937-483E-AB23-3D53A2AFE233}"/>
  <bookViews>
    <workbookView xWindow="-108" yWindow="-108" windowWidth="23256" windowHeight="12456" activeTab="1" xr2:uid="{00000000-000D-0000-FFFF-FFFF00000000}"/>
  </bookViews>
  <sheets>
    <sheet name="1. CÁLCULO CONSOLIDADO" sheetId="10" r:id="rId1"/>
    <sheet name="2.ROL DE PAGO" sheetId="12" r:id="rId2"/>
    <sheet name="Hoja1" sheetId="11" state="hidden" r:id="rId3"/>
  </sheets>
  <definedNames>
    <definedName name="_xlnm._FilterDatabase" localSheetId="0" hidden="1">'1. CÁLCULO CONSOLIDADO'!$A$8:$AW$29</definedName>
    <definedName name="_xlnm._FilterDatabase" localSheetId="1" hidden="1">'2.ROL DE PAGO'!$A$7:$O$33</definedName>
    <definedName name="_xlnm.Print_Area" localSheetId="0">'1. CÁLCULO CONSOLIDADO'!$A$1:$Y$39</definedName>
    <definedName name="_xlnm.Print_Area" localSheetId="1">'2.ROL DE PAGO'!$A$1:$M$34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2" l="1"/>
  <c r="C9" i="12"/>
  <c r="D9" i="12"/>
  <c r="E9" i="12"/>
  <c r="B10" i="12"/>
  <c r="C10" i="12"/>
  <c r="D10" i="12"/>
  <c r="E10" i="12"/>
  <c r="G10" i="12"/>
  <c r="F10" i="12" s="1"/>
  <c r="H10" i="12" s="1"/>
  <c r="B11" i="12"/>
  <c r="C11" i="12"/>
  <c r="D11" i="12"/>
  <c r="E11" i="12"/>
  <c r="G11" i="12"/>
  <c r="F11" i="12" s="1"/>
  <c r="H11" i="12" s="1"/>
  <c r="I11" i="12"/>
  <c r="B12" i="12"/>
  <c r="C12" i="12"/>
  <c r="D12" i="12"/>
  <c r="E12" i="12"/>
  <c r="G12" i="12"/>
  <c r="F12" i="12" s="1"/>
  <c r="H12" i="12" s="1"/>
  <c r="I12" i="12"/>
  <c r="K12" i="12"/>
  <c r="L12" i="12"/>
  <c r="M12" i="12"/>
  <c r="B13" i="12"/>
  <c r="C13" i="12"/>
  <c r="D13" i="12"/>
  <c r="E13" i="12"/>
  <c r="G13" i="12"/>
  <c r="F13" i="12" s="1"/>
  <c r="H13" i="12" s="1"/>
  <c r="I13" i="12"/>
  <c r="K13" i="12"/>
  <c r="L13" i="12"/>
  <c r="M13" i="12"/>
  <c r="B14" i="12"/>
  <c r="C14" i="12"/>
  <c r="D14" i="12"/>
  <c r="E14" i="12"/>
  <c r="G14" i="12"/>
  <c r="F14" i="12" s="1"/>
  <c r="H14" i="12" s="1"/>
  <c r="B15" i="12"/>
  <c r="C15" i="12"/>
  <c r="D15" i="12"/>
  <c r="E15" i="12"/>
  <c r="G15" i="12"/>
  <c r="F15" i="12" s="1"/>
  <c r="H15" i="12" s="1"/>
  <c r="I15" i="12"/>
  <c r="B16" i="12"/>
  <c r="C16" i="12"/>
  <c r="D16" i="12"/>
  <c r="E16" i="12"/>
  <c r="G16" i="12"/>
  <c r="F16" i="12" s="1"/>
  <c r="H16" i="12" s="1"/>
  <c r="I16" i="12"/>
  <c r="K16" i="12"/>
  <c r="L16" i="12"/>
  <c r="M16" i="12"/>
  <c r="B17" i="12"/>
  <c r="C17" i="12"/>
  <c r="D17" i="12"/>
  <c r="E17" i="12"/>
  <c r="G17" i="12"/>
  <c r="F17" i="12" s="1"/>
  <c r="H17" i="12" s="1"/>
  <c r="I17" i="12"/>
  <c r="K17" i="12"/>
  <c r="L17" i="12"/>
  <c r="M17" i="12"/>
  <c r="B18" i="12"/>
  <c r="C18" i="12"/>
  <c r="D18" i="12"/>
  <c r="E18" i="12"/>
  <c r="G18" i="12"/>
  <c r="F18" i="12" s="1"/>
  <c r="H18" i="12" s="1"/>
  <c r="B19" i="12"/>
  <c r="C19" i="12"/>
  <c r="D19" i="12"/>
  <c r="E19" i="12"/>
  <c r="G19" i="12"/>
  <c r="F19" i="12" s="1"/>
  <c r="H19" i="12" s="1"/>
  <c r="I19" i="12"/>
  <c r="B20" i="12"/>
  <c r="C20" i="12"/>
  <c r="D20" i="12"/>
  <c r="E20" i="12"/>
  <c r="G20" i="12"/>
  <c r="F20" i="12" s="1"/>
  <c r="H20" i="12" s="1"/>
  <c r="I20" i="12"/>
  <c r="K20" i="12"/>
  <c r="L20" i="12"/>
  <c r="M20" i="12"/>
  <c r="B21" i="12"/>
  <c r="C21" i="12"/>
  <c r="D21" i="12"/>
  <c r="E21" i="12"/>
  <c r="G21" i="12"/>
  <c r="F21" i="12" s="1"/>
  <c r="H21" i="12" s="1"/>
  <c r="I21" i="12"/>
  <c r="K21" i="12"/>
  <c r="L21" i="12"/>
  <c r="M21" i="12"/>
  <c r="B22" i="12"/>
  <c r="C22" i="12"/>
  <c r="D22" i="12"/>
  <c r="E22" i="12"/>
  <c r="G22" i="12"/>
  <c r="F22" i="12" s="1"/>
  <c r="H22" i="12" s="1"/>
  <c r="B23" i="12"/>
  <c r="C23" i="12"/>
  <c r="D23" i="12"/>
  <c r="E23" i="12"/>
  <c r="G23" i="12"/>
  <c r="F23" i="12" s="1"/>
  <c r="H23" i="12" s="1"/>
  <c r="I23" i="12"/>
  <c r="B24" i="12"/>
  <c r="C24" i="12"/>
  <c r="D24" i="12"/>
  <c r="E24" i="12"/>
  <c r="G24" i="12"/>
  <c r="F24" i="12" s="1"/>
  <c r="H24" i="12" s="1"/>
  <c r="I24" i="12"/>
  <c r="K24" i="12"/>
  <c r="L24" i="12"/>
  <c r="M24" i="12"/>
  <c r="B25" i="12"/>
  <c r="C25" i="12"/>
  <c r="D25" i="12"/>
  <c r="E25" i="12"/>
  <c r="G25" i="12"/>
  <c r="F25" i="12" s="1"/>
  <c r="H25" i="12" s="1"/>
  <c r="I25" i="12"/>
  <c r="K25" i="12"/>
  <c r="L25" i="12"/>
  <c r="M25" i="12"/>
  <c r="B26" i="12"/>
  <c r="C26" i="12"/>
  <c r="D26" i="12"/>
  <c r="E26" i="12"/>
  <c r="G26" i="12"/>
  <c r="F26" i="12" s="1"/>
  <c r="H26" i="12" s="1"/>
  <c r="B27" i="12"/>
  <c r="C27" i="12"/>
  <c r="D27" i="12"/>
  <c r="E27" i="12"/>
  <c r="G27" i="12"/>
  <c r="F27" i="12" s="1"/>
  <c r="H27" i="12" s="1"/>
  <c r="I27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8" i="12"/>
  <c r="H19" i="10"/>
  <c r="I19" i="10"/>
  <c r="J19" i="10" s="1"/>
  <c r="L19" i="10"/>
  <c r="M19" i="10" s="1"/>
  <c r="Q19" i="10"/>
  <c r="R19" i="10"/>
  <c r="S19" i="10"/>
  <c r="T19" i="10"/>
  <c r="U19" i="10"/>
  <c r="V19" i="10"/>
  <c r="W19" i="10" s="1"/>
  <c r="X19" i="10" s="1"/>
  <c r="H20" i="10"/>
  <c r="K20" i="10" s="1"/>
  <c r="O20" i="10" s="1"/>
  <c r="I20" i="10"/>
  <c r="J20" i="10"/>
  <c r="L20" i="10"/>
  <c r="M20" i="10"/>
  <c r="N20" i="10"/>
  <c r="Q20" i="10"/>
  <c r="R20" i="10"/>
  <c r="S20" i="10" s="1"/>
  <c r="U20" i="10"/>
  <c r="V20" i="10"/>
  <c r="W20" i="10"/>
  <c r="H21" i="10"/>
  <c r="I21" i="10"/>
  <c r="J21" i="10" s="1"/>
  <c r="L21" i="10"/>
  <c r="M21" i="10" s="1"/>
  <c r="Q21" i="10"/>
  <c r="R21" i="10"/>
  <c r="S21" i="10"/>
  <c r="T21" i="10"/>
  <c r="U21" i="10"/>
  <c r="V21" i="10"/>
  <c r="W21" i="10"/>
  <c r="X21" i="10"/>
  <c r="H22" i="10"/>
  <c r="I22" i="10"/>
  <c r="J22" i="10" s="1"/>
  <c r="L22" i="10"/>
  <c r="M22" i="10"/>
  <c r="N22" i="10"/>
  <c r="Q22" i="10"/>
  <c r="R22" i="10"/>
  <c r="S22" i="10"/>
  <c r="T22" i="10"/>
  <c r="U22" i="10"/>
  <c r="V22" i="10" s="1"/>
  <c r="H23" i="10"/>
  <c r="I23" i="10"/>
  <c r="J23" i="10"/>
  <c r="K23" i="10"/>
  <c r="L23" i="10"/>
  <c r="M23" i="10"/>
  <c r="N23" i="10"/>
  <c r="Q23" i="10"/>
  <c r="T23" i="10" s="1"/>
  <c r="X23" i="10" s="1"/>
  <c r="R23" i="10"/>
  <c r="S23" i="10"/>
  <c r="U23" i="10"/>
  <c r="V23" i="10"/>
  <c r="W23" i="10"/>
  <c r="H24" i="10"/>
  <c r="I24" i="10"/>
  <c r="J24" i="10" s="1"/>
  <c r="L24" i="10"/>
  <c r="M24" i="10"/>
  <c r="N24" i="10"/>
  <c r="Q24" i="10"/>
  <c r="R24" i="10"/>
  <c r="S24" i="10" s="1"/>
  <c r="U24" i="10"/>
  <c r="V24" i="10"/>
  <c r="H25" i="10"/>
  <c r="I25" i="10"/>
  <c r="J25" i="10" s="1"/>
  <c r="K25" i="10" s="1"/>
  <c r="O25" i="10" s="1"/>
  <c r="Y25" i="10" s="1"/>
  <c r="L25" i="10"/>
  <c r="M25" i="10"/>
  <c r="N25" i="10"/>
  <c r="Q25" i="10"/>
  <c r="T25" i="10" s="1"/>
  <c r="X25" i="10" s="1"/>
  <c r="R25" i="10"/>
  <c r="S25" i="10"/>
  <c r="U25" i="10"/>
  <c r="V25" i="10"/>
  <c r="W25" i="10"/>
  <c r="H26" i="10"/>
  <c r="I26" i="10"/>
  <c r="J26" i="10"/>
  <c r="K26" i="10"/>
  <c r="L26" i="10"/>
  <c r="N26" i="10" s="1"/>
  <c r="M26" i="10"/>
  <c r="Q26" i="10"/>
  <c r="R26" i="10"/>
  <c r="S26" i="10"/>
  <c r="T26" i="10"/>
  <c r="U26" i="10"/>
  <c r="V26" i="10"/>
  <c r="W26" i="10"/>
  <c r="X26" i="10"/>
  <c r="H27" i="10"/>
  <c r="K27" i="10" s="1"/>
  <c r="O27" i="10" s="1"/>
  <c r="I27" i="10"/>
  <c r="J27" i="10"/>
  <c r="L27" i="10"/>
  <c r="M27" i="10"/>
  <c r="N27" i="10"/>
  <c r="Q27" i="10"/>
  <c r="R27" i="10"/>
  <c r="S27" i="10"/>
  <c r="U27" i="10"/>
  <c r="V27" i="10"/>
  <c r="W27" i="10"/>
  <c r="H28" i="10"/>
  <c r="I28" i="10"/>
  <c r="J28" i="10" s="1"/>
  <c r="L28" i="10"/>
  <c r="M28" i="10"/>
  <c r="Q28" i="10"/>
  <c r="R28" i="10"/>
  <c r="S28" i="10"/>
  <c r="T28" i="10"/>
  <c r="U28" i="10"/>
  <c r="V28" i="10"/>
  <c r="W28" i="10"/>
  <c r="X28" i="10" s="1"/>
  <c r="H16" i="10"/>
  <c r="I16" i="10"/>
  <c r="J16" i="10" s="1"/>
  <c r="L16" i="10"/>
  <c r="M16" i="10" s="1"/>
  <c r="N16" i="10" s="1"/>
  <c r="Q16" i="10"/>
  <c r="R16" i="10"/>
  <c r="S16" i="10"/>
  <c r="T16" i="10"/>
  <c r="U16" i="10"/>
  <c r="W16" i="10" s="1"/>
  <c r="V16" i="10"/>
  <c r="H17" i="10"/>
  <c r="I17" i="10"/>
  <c r="J17" i="10" s="1"/>
  <c r="L17" i="10"/>
  <c r="M17" i="10" s="1"/>
  <c r="Q17" i="10"/>
  <c r="R17" i="10"/>
  <c r="S17" i="10" s="1"/>
  <c r="U17" i="10"/>
  <c r="V17" i="10" s="1"/>
  <c r="W17" i="10" s="1"/>
  <c r="H18" i="10"/>
  <c r="I18" i="10"/>
  <c r="J18" i="10" s="1"/>
  <c r="L18" i="10"/>
  <c r="M18" i="10" s="1"/>
  <c r="Q18" i="10"/>
  <c r="R18" i="10"/>
  <c r="S18" i="10"/>
  <c r="U18" i="10"/>
  <c r="V18" i="10" s="1"/>
  <c r="F4" i="12"/>
  <c r="H5" i="12"/>
  <c r="G5" i="12"/>
  <c r="J27" i="12" l="1"/>
  <c r="J19" i="12"/>
  <c r="J24" i="12"/>
  <c r="J20" i="12"/>
  <c r="M26" i="12"/>
  <c r="M22" i="12"/>
  <c r="M18" i="12"/>
  <c r="M14" i="12"/>
  <c r="M10" i="12"/>
  <c r="L26" i="12"/>
  <c r="J25" i="12"/>
  <c r="L22" i="12"/>
  <c r="J21" i="12"/>
  <c r="L18" i="12"/>
  <c r="J17" i="12"/>
  <c r="L14" i="12"/>
  <c r="J13" i="12"/>
  <c r="L10" i="12"/>
  <c r="J23" i="12"/>
  <c r="J15" i="12"/>
  <c r="J16" i="12"/>
  <c r="K18" i="12"/>
  <c r="K10" i="12"/>
  <c r="J12" i="12"/>
  <c r="K26" i="12"/>
  <c r="K22" i="12"/>
  <c r="K14" i="12"/>
  <c r="M27" i="12"/>
  <c r="I26" i="12"/>
  <c r="M23" i="12"/>
  <c r="I22" i="12"/>
  <c r="J22" i="12" s="1"/>
  <c r="M19" i="12"/>
  <c r="I18" i="12"/>
  <c r="J18" i="12" s="1"/>
  <c r="M15" i="12"/>
  <c r="I14" i="12"/>
  <c r="J14" i="12" s="1"/>
  <c r="M11" i="12"/>
  <c r="I10" i="12"/>
  <c r="J10" i="12" s="1"/>
  <c r="J11" i="12"/>
  <c r="L27" i="12"/>
  <c r="J26" i="12"/>
  <c r="L23" i="12"/>
  <c r="L19" i="12"/>
  <c r="L15" i="12"/>
  <c r="L11" i="12"/>
  <c r="K27" i="12"/>
  <c r="K23" i="12"/>
  <c r="K19" i="12"/>
  <c r="K15" i="12"/>
  <c r="K11" i="12"/>
  <c r="T24" i="10"/>
  <c r="K21" i="10"/>
  <c r="K22" i="10"/>
  <c r="O22" i="10" s="1"/>
  <c r="K28" i="10"/>
  <c r="O26" i="10"/>
  <c r="Y26" i="10" s="1"/>
  <c r="T27" i="10"/>
  <c r="X27" i="10" s="1"/>
  <c r="Y27" i="10" s="1"/>
  <c r="O23" i="10"/>
  <c r="Y23" i="10" s="1"/>
  <c r="N28" i="10"/>
  <c r="K16" i="10"/>
  <c r="O16" i="10" s="1"/>
  <c r="W24" i="10"/>
  <c r="X24" i="10" s="1"/>
  <c r="N19" i="10"/>
  <c r="X22" i="10"/>
  <c r="Y22" i="10" s="1"/>
  <c r="W22" i="10"/>
  <c r="K19" i="10"/>
  <c r="K24" i="10"/>
  <c r="O24" i="10" s="1"/>
  <c r="T20" i="10"/>
  <c r="X20" i="10" s="1"/>
  <c r="Y20" i="10"/>
  <c r="O28" i="10"/>
  <c r="Y28" i="10" s="1"/>
  <c r="N21" i="10"/>
  <c r="O21" i="10" s="1"/>
  <c r="Y21" i="10" s="1"/>
  <c r="X16" i="10"/>
  <c r="T18" i="10"/>
  <c r="K17" i="10"/>
  <c r="K18" i="10"/>
  <c r="T17" i="10"/>
  <c r="X17" i="10" s="1"/>
  <c r="W18" i="10"/>
  <c r="N17" i="10"/>
  <c r="N18" i="10"/>
  <c r="D8" i="12"/>
  <c r="C8" i="12"/>
  <c r="B8" i="12"/>
  <c r="E8" i="12"/>
  <c r="E28" i="12" s="1"/>
  <c r="H12" i="10"/>
  <c r="I12" i="10"/>
  <c r="H13" i="10"/>
  <c r="I13" i="10"/>
  <c r="H14" i="10"/>
  <c r="I14" i="10"/>
  <c r="H15" i="10"/>
  <c r="I15" i="10"/>
  <c r="H10" i="10"/>
  <c r="I10" i="10"/>
  <c r="H11" i="10"/>
  <c r="I11" i="10"/>
  <c r="Q12" i="10"/>
  <c r="R12" i="10"/>
  <c r="Q13" i="10"/>
  <c r="R13" i="10"/>
  <c r="Q14" i="10"/>
  <c r="R14" i="10"/>
  <c r="Q15" i="10"/>
  <c r="R15" i="10"/>
  <c r="Q10" i="10"/>
  <c r="R10" i="10"/>
  <c r="Q11" i="10"/>
  <c r="R11" i="10"/>
  <c r="R9" i="10"/>
  <c r="Q9" i="10"/>
  <c r="I9" i="10"/>
  <c r="H9" i="10"/>
  <c r="Y24" i="10" l="1"/>
  <c r="O19" i="10"/>
  <c r="Y19" i="10" s="1"/>
  <c r="O17" i="10"/>
  <c r="Y17" i="10" s="1"/>
  <c r="X18" i="10"/>
  <c r="O18" i="10"/>
  <c r="Y16" i="10"/>
  <c r="U15" i="10"/>
  <c r="U14" i="10"/>
  <c r="U13" i="10"/>
  <c r="U12" i="10"/>
  <c r="V12" i="10" s="1"/>
  <c r="U11" i="10"/>
  <c r="V11" i="10" s="1"/>
  <c r="U10" i="10"/>
  <c r="V10" i="10" s="1"/>
  <c r="U9" i="10"/>
  <c r="S15" i="10"/>
  <c r="T15" i="10" s="1"/>
  <c r="S14" i="10"/>
  <c r="T14" i="10" s="1"/>
  <c r="S13" i="10"/>
  <c r="T13" i="10" s="1"/>
  <c r="S12" i="10"/>
  <c r="T12" i="10" s="1"/>
  <c r="S11" i="10"/>
  <c r="T11" i="10" s="1"/>
  <c r="S10" i="10"/>
  <c r="T10" i="10" s="1"/>
  <c r="S9" i="10"/>
  <c r="T9" i="10" s="1"/>
  <c r="L15" i="10"/>
  <c r="M15" i="10" s="1"/>
  <c r="L14" i="10"/>
  <c r="L13" i="10"/>
  <c r="M13" i="10" s="1"/>
  <c r="L12" i="10"/>
  <c r="M12" i="10" s="1"/>
  <c r="L11" i="10"/>
  <c r="M11" i="10" s="1"/>
  <c r="L10" i="10"/>
  <c r="M10" i="10" s="1"/>
  <c r="N10" i="10" s="1"/>
  <c r="L9" i="10"/>
  <c r="M9" i="10" s="1"/>
  <c r="N9" i="10" s="1"/>
  <c r="J15" i="10"/>
  <c r="K15" i="10" s="1"/>
  <c r="J14" i="10"/>
  <c r="K14" i="10" s="1"/>
  <c r="J13" i="10"/>
  <c r="J12" i="10"/>
  <c r="K12" i="10" s="1"/>
  <c r="J11" i="10"/>
  <c r="K11" i="10" s="1"/>
  <c r="J10" i="10"/>
  <c r="K10" i="10" s="1"/>
  <c r="J9" i="10"/>
  <c r="K9" i="10" s="1"/>
  <c r="Y18" i="10" l="1"/>
  <c r="V13" i="10"/>
  <c r="W13" i="10" s="1"/>
  <c r="X13" i="10" s="1"/>
  <c r="V14" i="10"/>
  <c r="W14" i="10" s="1"/>
  <c r="X14" i="10" s="1"/>
  <c r="V15" i="10"/>
  <c r="W15" i="10" s="1"/>
  <c r="X15" i="10" s="1"/>
  <c r="O9" i="10"/>
  <c r="O10" i="10"/>
  <c r="W11" i="10"/>
  <c r="X11" i="10" s="1"/>
  <c r="W12" i="10"/>
  <c r="X12" i="10" s="1"/>
  <c r="M14" i="10"/>
  <c r="N14" i="10" s="1"/>
  <c r="O14" i="10" s="1"/>
  <c r="V9" i="10"/>
  <c r="W9" i="10" s="1"/>
  <c r="X9" i="10" s="1"/>
  <c r="N11" i="10"/>
  <c r="O11" i="10" s="1"/>
  <c r="N12" i="10"/>
  <c r="O12" i="10" s="1"/>
  <c r="N13" i="10"/>
  <c r="N15" i="10"/>
  <c r="O15" i="10" s="1"/>
  <c r="W10" i="10"/>
  <c r="X10" i="10" s="1"/>
  <c r="K13" i="10"/>
  <c r="X29" i="10" l="1"/>
  <c r="Y10" i="10"/>
  <c r="G9" i="12" s="1"/>
  <c r="Y14" i="10"/>
  <c r="Y12" i="10"/>
  <c r="Y11" i="10"/>
  <c r="Y9" i="10"/>
  <c r="O13" i="10"/>
  <c r="Y13" i="10" s="1"/>
  <c r="Y15" i="10"/>
  <c r="F9" i="12" l="1"/>
  <c r="H9" i="12" s="1"/>
  <c r="I9" i="12"/>
  <c r="K9" i="12"/>
  <c r="L9" i="12"/>
  <c r="M9" i="12"/>
  <c r="O29" i="10"/>
  <c r="Y29" i="10"/>
  <c r="G8" i="12"/>
  <c r="G28" i="12" s="1"/>
  <c r="J9" i="12" l="1"/>
  <c r="F8" i="12"/>
  <c r="F28" i="12" s="1"/>
  <c r="L8" i="12"/>
  <c r="L28" i="12" s="1"/>
  <c r="M8" i="12"/>
  <c r="M28" i="12" s="1"/>
  <c r="I8" i="12"/>
  <c r="I28" i="12" s="1"/>
  <c r="K8" i="12"/>
  <c r="K28" i="12" s="1"/>
  <c r="H8" i="12" l="1"/>
  <c r="H28" i="12" s="1"/>
  <c r="J8" i="12"/>
  <c r="J28" i="12" s="1"/>
</calcChain>
</file>

<file path=xl/sharedStrings.xml><?xml version="1.0" encoding="utf-8"?>
<sst xmlns="http://schemas.openxmlformats.org/spreadsheetml/2006/main" count="180" uniqueCount="90">
  <si>
    <t>UNIVERSIDAD DE INVESTIGACIÓN DE TECNOLOGÍA EXPERIMENTAL YACHAY</t>
  </si>
  <si>
    <t>HORAS SUPLEMENTARIAS</t>
  </si>
  <si>
    <t>HORAS EXTRAORDIANRIAS</t>
  </si>
  <si>
    <t xml:space="preserve">No. </t>
  </si>
  <si>
    <t>Régimen Laboral</t>
  </si>
  <si>
    <t>RMU</t>
  </si>
  <si>
    <t>Total en Horas</t>
  </si>
  <si>
    <t>RMU/240</t>
  </si>
  <si>
    <t>50% Adicional</t>
  </si>
  <si>
    <t>Valor a Pagar</t>
  </si>
  <si>
    <t>100% adicional</t>
  </si>
  <si>
    <t>TOTAL A PAGAR</t>
  </si>
  <si>
    <t>1.CONTRATOS CODIGO DE TRABAJO</t>
  </si>
  <si>
    <t>JULIO</t>
  </si>
  <si>
    <t>SEPTIEMBRE</t>
  </si>
  <si>
    <t>NOVIEMBRE</t>
  </si>
  <si>
    <t>OCTUBRE</t>
  </si>
  <si>
    <t>TOTAL HORAS SUPLEMENTARIAS</t>
  </si>
  <si>
    <t>TOTAL HORAS EXTRAORDINARIAS</t>
  </si>
  <si>
    <t>Elaborado por:</t>
  </si>
  <si>
    <t>Revisado por:</t>
  </si>
  <si>
    <t>Aprobado por:</t>
  </si>
  <si>
    <t>DIRECTOR GENERAL DE TALENTO HUMANO</t>
  </si>
  <si>
    <t>ENERO</t>
  </si>
  <si>
    <t>FEBRERO</t>
  </si>
  <si>
    <t>ANALISTA DE TALENTO HUMANO 1</t>
  </si>
  <si>
    <t>MES Y AÑO: ENERO  2024</t>
  </si>
  <si>
    <t>JUNIO</t>
  </si>
  <si>
    <t>Ing. Jorge Isaac Robby</t>
  </si>
  <si>
    <t>PERSONAL DE CÓDIGO DE TRABAJO</t>
  </si>
  <si>
    <t>MARZO</t>
  </si>
  <si>
    <t>ABRIL</t>
  </si>
  <si>
    <t>MAYO</t>
  </si>
  <si>
    <t>AGOSTO</t>
  </si>
  <si>
    <t>DICIEMBRE</t>
  </si>
  <si>
    <t>No. Horas</t>
  </si>
  <si>
    <t>No. Minutos</t>
  </si>
  <si>
    <t>Valor hora del minuto</t>
  </si>
  <si>
    <t>Valor Hora</t>
  </si>
  <si>
    <t>Nombre del Analista de TH</t>
  </si>
  <si>
    <t>Nombre del Director de TH</t>
  </si>
  <si>
    <t>Valor hora</t>
  </si>
  <si>
    <t>APELLIDOS Y NOMBRES</t>
  </si>
  <si>
    <t>Nº</t>
  </si>
  <si>
    <t>CÉDULA</t>
  </si>
  <si>
    <t>CARGO OCUPACIONAL</t>
  </si>
  <si>
    <t>VALOR CALCULADO SUPLEMENTARIAS Y EXTRAORDINARIAS</t>
  </si>
  <si>
    <t>TOTAL INGRESOS</t>
  </si>
  <si>
    <t>APORTE INDIVIDUAL</t>
  </si>
  <si>
    <t>LIQUIDO A RECIBIR</t>
  </si>
  <si>
    <t>APORTE PATRONAL</t>
  </si>
  <si>
    <t>IECE</t>
  </si>
  <si>
    <t>SECAP</t>
  </si>
  <si>
    <t>TOTAL</t>
  </si>
  <si>
    <t>DIRECTORA GENERAL DE TALENTO HUMANO</t>
  </si>
  <si>
    <t>COORDINACIÓN GENERAL ADMINISTRATIVA FINANCIERA</t>
  </si>
  <si>
    <t>DIRECCIÓN DE RELACIONES INTERNACIONALES</t>
  </si>
  <si>
    <t>DIRECCIÓN DE ACREDITACION Y ASEGURAMIENTO DE LA CALIDAD</t>
  </si>
  <si>
    <t>DIRECCIÓN DE BIBLIOTECAS</t>
  </si>
  <si>
    <t>DIRECCIÓN DE COMUNICACIÓN Y PROMOCIÓN</t>
  </si>
  <si>
    <t>DIRECCIÓN DE IDIOMAS</t>
  </si>
  <si>
    <t>DIRECCIÓN DE VINCULACIÓN CON LA SOCIEDAD</t>
  </si>
  <si>
    <t>DIRECCIÓN GENERAL ADMINISTRATIVA</t>
  </si>
  <si>
    <t>DIRECCIÓN GENERAL DE BIENESTAR UNIVERSITARIO</t>
  </si>
  <si>
    <t>DIRECCIÓN GENERAL DE INVESTIGACIÓN E INNOVACIÓN</t>
  </si>
  <si>
    <t>DIRECCIÓN GENERAL DE PLANIFICACIÓN Y PROCESOS</t>
  </si>
  <si>
    <t>DIRECCIÓN GENERAL DE POSGRADOS</t>
  </si>
  <si>
    <t>DIRECCIÓN GENERAL DE SERVICIOS ACADÉMICOS</t>
  </si>
  <si>
    <t>DIRECCIÓN GENERAL DE TALENTO HUMANO</t>
  </si>
  <si>
    <t>DIRECCIÓN GENERAL DE TECNOLOGÍAS DE LA INFORMACIÓN Y COMUNICACIONES</t>
  </si>
  <si>
    <t>DIRECCIÓN GENERAL FINANCIERA</t>
  </si>
  <si>
    <t>DIRECCIÓN GENERAL JURÍDICA</t>
  </si>
  <si>
    <t>ESCUELA DE CIENCIAS AGROPECUARIAS Y AGROINDUSTRIALES</t>
  </si>
  <si>
    <t>ESCUELA DE CIENCIAS BIOLÓGICAS E INGENIERÍA</t>
  </si>
  <si>
    <t>ESCUELA DE CIENCIAS DE LA TIERRA, ENERGÍA Y AMBIENTE</t>
  </si>
  <si>
    <t>ESCUELA DE CIENCIAS FÍSICAS Y NANOTECNOLOGÍA</t>
  </si>
  <si>
    <t>ESCUELA DE CIENCIAS MATEMÁTICAS Y COMPUTACIONALES</t>
  </si>
  <si>
    <t>ESCUELA DE CIENCIAS QUÍMICAS E INGENIERÍA</t>
  </si>
  <si>
    <t>RECTORADO</t>
  </si>
  <si>
    <t>SECRETARIA GENERAL</t>
  </si>
  <si>
    <t>VICERRECTORADO ACADÉMICO</t>
  </si>
  <si>
    <t>TOTAL DÉCIMO TERCER SUELDO</t>
  </si>
  <si>
    <t>-</t>
  </si>
  <si>
    <t>VICERRECTORADO DE INVESTIGACIÓN</t>
  </si>
  <si>
    <t xml:space="preserve"> Horas Suplementarias
(hh:mm)</t>
  </si>
  <si>
    <t>Horas Extraodinarias
(hh:mm)</t>
  </si>
  <si>
    <r>
      <t xml:space="preserve">Código: </t>
    </r>
    <r>
      <rPr>
        <sz val="8"/>
        <color theme="1"/>
        <rFont val="Calibri"/>
        <family val="2"/>
        <scheme val="minor"/>
      </rPr>
      <t>GTH-DGTH-PRD-003-FO-007</t>
    </r>
  </si>
  <si>
    <r>
      <rPr>
        <b/>
        <sz val="9"/>
        <rFont val="Calibri"/>
        <family val="2"/>
        <scheme val="minor"/>
      </rPr>
      <t>Código:</t>
    </r>
    <r>
      <rPr>
        <sz val="9"/>
        <rFont val="Calibri"/>
        <family val="2"/>
        <scheme val="minor"/>
      </rPr>
      <t xml:space="preserve"> GTH-DGTH-PRD-003-FO-006</t>
    </r>
  </si>
  <si>
    <t>ROL DE PAGO DE HORAS SUPLEMENTARIAS Y EXTRAORDINARIAS</t>
  </si>
  <si>
    <t>CÁLCULO CONSOLIDADO PARA EL PAGO DE HORAS SUPLEMENTARIAS Y EXTRAORDINARIAS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</si>
</sst>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h:mm;@"/>
    <numFmt numFmtId="166" formatCode="[$-F400]h:mm:ss\ AM/PM"/>
    <numFmt numFmtId="167" formatCode="[$-409]h:mm\ AM/PM;@"/>
    <numFmt numFmtId="168" formatCode="[h]:mm"/>
    <numFmt numFmtId="169" formatCode="0000000000"/>
  </numFmts>
  <fonts count="16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22628F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13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/>
    <xf numFmtId="0" fontId="2" fillId="0" borderId="0" xfId="0" applyFont="1"/>
    <xf numFmtId="0" fontId="0" fillId="2" borderId="0" xfId="0" applyFill="1"/>
    <xf numFmtId="4" fontId="2" fillId="0" borderId="13" xfId="0" applyNumberFormat="1" applyFont="1" applyBorder="1" applyAlignment="1">
      <alignment horizontal="center"/>
    </xf>
    <xf numFmtId="46" fontId="1" fillId="0" borderId="0" xfId="0" applyNumberFormat="1" applyFont="1"/>
    <xf numFmtId="46" fontId="1" fillId="0" borderId="0" xfId="0" applyNumberFormat="1" applyFont="1" applyAlignment="1">
      <alignment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 wrapText="1"/>
    </xf>
    <xf numFmtId="4" fontId="3" fillId="2" borderId="0" xfId="0" applyNumberFormat="1" applyFont="1" applyFill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4" fontId="4" fillId="0" borderId="0" xfId="0" applyNumberFormat="1" applyFont="1" applyAlignment="1">
      <alignment horizontal="center"/>
    </xf>
    <xf numFmtId="4" fontId="4" fillId="0" borderId="13" xfId="0" applyNumberFormat="1" applyFont="1" applyBorder="1" applyAlignment="1">
      <alignment horizontal="center"/>
    </xf>
    <xf numFmtId="0" fontId="6" fillId="0" borderId="0" xfId="0" applyFont="1"/>
    <xf numFmtId="0" fontId="3" fillId="2" borderId="0" xfId="0" applyFont="1" applyFill="1" applyAlignment="1">
      <alignment horizontal="center" wrapText="1"/>
    </xf>
    <xf numFmtId="166" fontId="0" fillId="0" borderId="0" xfId="0" applyNumberFormat="1"/>
    <xf numFmtId="167" fontId="0" fillId="0" borderId="0" xfId="0" applyNumberFormat="1"/>
    <xf numFmtId="0" fontId="8" fillId="2" borderId="0" xfId="0" applyFont="1" applyFill="1"/>
    <xf numFmtId="0" fontId="8" fillId="0" borderId="0" xfId="0" applyFont="1"/>
    <xf numFmtId="0" fontId="9" fillId="2" borderId="0" xfId="0" applyFont="1" applyFill="1"/>
    <xf numFmtId="0" fontId="8" fillId="0" borderId="0" xfId="0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/>
    </xf>
    <xf numFmtId="0" fontId="9" fillId="2" borderId="7" xfId="0" applyFont="1" applyFill="1" applyBorder="1" applyAlignment="1">
      <alignment vertical="center" wrapText="1"/>
    </xf>
    <xf numFmtId="0" fontId="8" fillId="2" borderId="7" xfId="0" applyFont="1" applyFill="1" applyBorder="1"/>
    <xf numFmtId="49" fontId="3" fillId="0" borderId="4" xfId="0" applyNumberFormat="1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4" fontId="3" fillId="0" borderId="4" xfId="0" applyNumberFormat="1" applyFont="1" applyBorder="1" applyAlignment="1" applyProtection="1">
      <alignment horizontal="center" vertical="center"/>
      <protection locked="0"/>
    </xf>
    <xf numFmtId="168" fontId="3" fillId="0" borderId="4" xfId="0" applyNumberFormat="1" applyFont="1" applyBorder="1" applyAlignment="1" applyProtection="1">
      <alignment horizontal="center" vertical="center"/>
      <protection locked="0"/>
    </xf>
    <xf numFmtId="4" fontId="3" fillId="0" borderId="5" xfId="0" applyNumberFormat="1" applyFont="1" applyBorder="1" applyAlignment="1" applyProtection="1">
      <alignment horizontal="center" vertical="center"/>
      <protection locked="0"/>
    </xf>
    <xf numFmtId="1" fontId="3" fillId="4" borderId="4" xfId="0" applyNumberFormat="1" applyFont="1" applyFill="1" applyBorder="1" applyAlignment="1" applyProtection="1">
      <alignment horizontal="center" vertical="center"/>
      <protection hidden="1"/>
    </xf>
    <xf numFmtId="4" fontId="3" fillId="4" borderId="4" xfId="0" applyNumberFormat="1" applyFont="1" applyFill="1" applyBorder="1" applyAlignment="1" applyProtection="1">
      <alignment horizontal="center" vertical="center"/>
      <protection hidden="1"/>
    </xf>
    <xf numFmtId="3" fontId="3" fillId="4" borderId="4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left"/>
      <protection locked="0"/>
    </xf>
    <xf numFmtId="0" fontId="13" fillId="2" borderId="0" xfId="0" applyFont="1" applyFill="1" applyProtection="1">
      <protection locked="0"/>
    </xf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wrapText="1"/>
      <protection locked="0"/>
    </xf>
    <xf numFmtId="0" fontId="0" fillId="0" borderId="0" xfId="0" applyProtection="1">
      <protection locked="0"/>
    </xf>
    <xf numFmtId="164" fontId="0" fillId="2" borderId="0" xfId="0" applyNumberFormat="1" applyFill="1" applyProtection="1">
      <protection locked="0"/>
    </xf>
    <xf numFmtId="4" fontId="0" fillId="2" borderId="0" xfId="0" applyNumberFormat="1" applyFill="1" applyProtection="1">
      <protection locked="0"/>
    </xf>
    <xf numFmtId="46" fontId="0" fillId="0" borderId="0" xfId="0" applyNumberFormat="1" applyProtection="1">
      <protection locked="0"/>
    </xf>
    <xf numFmtId="0" fontId="14" fillId="2" borderId="0" xfId="0" applyFont="1" applyFill="1" applyProtection="1">
      <protection locked="0"/>
    </xf>
    <xf numFmtId="0" fontId="15" fillId="2" borderId="0" xfId="0" applyFont="1" applyFill="1" applyProtection="1">
      <protection locked="0"/>
    </xf>
    <xf numFmtId="164" fontId="12" fillId="0" borderId="4" xfId="1" applyFont="1" applyFill="1" applyBorder="1" applyAlignment="1" applyProtection="1">
      <alignment horizontal="center" vertical="center" wrapText="1"/>
    </xf>
    <xf numFmtId="164" fontId="12" fillId="5" borderId="4" xfId="1" applyFont="1" applyFill="1" applyBorder="1" applyAlignment="1" applyProtection="1">
      <alignment horizontal="center" vertical="center" wrapText="1"/>
    </xf>
    <xf numFmtId="164" fontId="12" fillId="6" borderId="4" xfId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69" fontId="3" fillId="0" borderId="0" xfId="0" applyNumberFormat="1" applyFont="1" applyAlignment="1" applyProtection="1">
      <alignment horizontal="center" vertical="center" wrapText="1"/>
      <protection locked="0"/>
    </xf>
    <xf numFmtId="164" fontId="8" fillId="0" borderId="0" xfId="1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Protection="1">
      <protection locked="0"/>
    </xf>
    <xf numFmtId="0" fontId="8" fillId="0" borderId="0" xfId="0" applyFont="1" applyProtection="1">
      <protection locked="0"/>
    </xf>
    <xf numFmtId="0" fontId="9" fillId="2" borderId="0" xfId="0" applyFont="1" applyFill="1" applyProtection="1">
      <protection locked="0"/>
    </xf>
    <xf numFmtId="164" fontId="8" fillId="0" borderId="0" xfId="1" applyFont="1" applyFill="1" applyBorder="1" applyAlignment="1" applyProtection="1">
      <alignment horizontal="center" vertical="center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hidden="1"/>
    </xf>
    <xf numFmtId="49" fontId="8" fillId="4" borderId="4" xfId="0" applyNumberFormat="1" applyFont="1" applyFill="1" applyBorder="1" applyAlignment="1" applyProtection="1">
      <alignment horizontal="center" vertical="center"/>
      <protection hidden="1"/>
    </xf>
    <xf numFmtId="49" fontId="8" fillId="4" borderId="4" xfId="0" applyNumberFormat="1" applyFont="1" applyFill="1" applyBorder="1" applyAlignment="1" applyProtection="1">
      <alignment horizontal="center" vertical="center" wrapText="1"/>
      <protection hidden="1"/>
    </xf>
    <xf numFmtId="164" fontId="8" fillId="4" borderId="4" xfId="1" applyFont="1" applyFill="1" applyBorder="1" applyAlignment="1" applyProtection="1">
      <alignment horizontal="center" vertical="center" wrapText="1"/>
      <protection hidden="1"/>
    </xf>
    <xf numFmtId="46" fontId="5" fillId="7" borderId="9" xfId="0" applyNumberFormat="1" applyFont="1" applyFill="1" applyBorder="1" applyAlignment="1">
      <alignment horizontal="center" vertical="center" wrapText="1"/>
    </xf>
    <xf numFmtId="46" fontId="5" fillId="7" borderId="12" xfId="0" applyNumberFormat="1" applyFont="1" applyFill="1" applyBorder="1" applyAlignment="1">
      <alignment horizontal="center" vertical="center" wrapText="1"/>
    </xf>
    <xf numFmtId="46" fontId="5" fillId="7" borderId="10" xfId="0" applyNumberFormat="1" applyFont="1" applyFill="1" applyBorder="1" applyAlignment="1">
      <alignment horizontal="center" vertical="center" wrapText="1"/>
    </xf>
    <xf numFmtId="46" fontId="5" fillId="7" borderId="11" xfId="0" applyNumberFormat="1" applyFont="1" applyFill="1" applyBorder="1" applyAlignment="1">
      <alignment horizontal="center" vertical="center" wrapText="1"/>
    </xf>
    <xf numFmtId="165" fontId="5" fillId="7" borderId="10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46" fontId="1" fillId="2" borderId="0" xfId="0" applyNumberFormat="1" applyFont="1" applyFill="1" applyAlignment="1">
      <alignment horizontal="center"/>
    </xf>
    <xf numFmtId="4" fontId="1" fillId="2" borderId="17" xfId="0" applyNumberFormat="1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2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wrapText="1"/>
    </xf>
    <xf numFmtId="0" fontId="1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7" xfId="0" applyFont="1" applyFill="1" applyBorder="1" applyAlignment="1" applyProtection="1">
      <alignment horizontal="center"/>
      <protection locked="0"/>
    </xf>
    <xf numFmtId="46" fontId="1" fillId="2" borderId="7" xfId="0" applyNumberFormat="1" applyFont="1" applyFill="1" applyBorder="1" applyAlignment="1" applyProtection="1">
      <alignment horizontal="center"/>
      <protection locked="0"/>
    </xf>
    <xf numFmtId="46" fontId="1" fillId="2" borderId="7" xfId="0" applyNumberFormat="1" applyFont="1" applyFill="1" applyBorder="1" applyAlignment="1">
      <alignment horizontal="center"/>
    </xf>
    <xf numFmtId="4" fontId="1" fillId="2" borderId="19" xfId="0" applyNumberFormat="1" applyFont="1" applyFill="1" applyBorder="1" applyAlignment="1">
      <alignment horizontal="center"/>
    </xf>
    <xf numFmtId="0" fontId="8" fillId="2" borderId="15" xfId="0" applyFont="1" applyFill="1" applyBorder="1"/>
    <xf numFmtId="0" fontId="5" fillId="7" borderId="9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8" fillId="2" borderId="7" xfId="0" applyFont="1" applyFill="1" applyBorder="1" applyProtection="1">
      <protection hidden="1"/>
    </xf>
    <xf numFmtId="0" fontId="12" fillId="2" borderId="7" xfId="0" applyFont="1" applyFill="1" applyBorder="1" applyAlignment="1" applyProtection="1">
      <alignment horizontal="center" vertical="center" wrapText="1"/>
      <protection hidden="1"/>
    </xf>
    <xf numFmtId="0" fontId="12" fillId="2" borderId="7" xfId="0" applyFont="1" applyFill="1" applyBorder="1" applyAlignment="1" applyProtection="1">
      <alignment horizontal="left" vertical="center" wrapText="1"/>
      <protection hidden="1"/>
    </xf>
    <xf numFmtId="0" fontId="9" fillId="2" borderId="17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 wrapText="1"/>
    </xf>
    <xf numFmtId="0" fontId="2" fillId="2" borderId="1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3" fillId="2" borderId="0" xfId="0" applyFont="1" applyFill="1" applyAlignment="1" applyProtection="1">
      <alignment horizontal="left"/>
      <protection locked="0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46" fontId="4" fillId="3" borderId="1" xfId="0" applyNumberFormat="1" applyFont="1" applyFill="1" applyBorder="1" applyAlignment="1">
      <alignment horizontal="center"/>
    </xf>
    <xf numFmtId="46" fontId="4" fillId="3" borderId="2" xfId="0" applyNumberFormat="1" applyFont="1" applyFill="1" applyBorder="1" applyAlignment="1">
      <alignment horizontal="center"/>
    </xf>
    <xf numFmtId="46" fontId="4" fillId="3" borderId="3" xfId="0" applyNumberFormat="1" applyFont="1" applyFill="1" applyBorder="1" applyAlignment="1">
      <alignment horizontal="center"/>
    </xf>
    <xf numFmtId="0" fontId="11" fillId="7" borderId="0" xfId="0" applyFont="1" applyFill="1" applyAlignment="1" applyProtection="1">
      <alignment horizontal="center"/>
      <protection locked="0"/>
    </xf>
    <xf numFmtId="0" fontId="11" fillId="7" borderId="7" xfId="0" applyFont="1" applyFill="1" applyBorder="1" applyAlignment="1" applyProtection="1">
      <alignment horizontal="center"/>
      <protection locked="0"/>
    </xf>
    <xf numFmtId="0" fontId="11" fillId="7" borderId="7" xfId="0" applyFont="1" applyFill="1" applyBorder="1" applyAlignment="1" applyProtection="1">
      <alignment horizontal="right" wrapText="1"/>
      <protection locked="0"/>
    </xf>
    <xf numFmtId="0" fontId="0" fillId="2" borderId="0" xfId="0" applyFill="1" applyAlignment="1" applyProtection="1">
      <alignment horizontal="left"/>
      <protection locked="0"/>
    </xf>
    <xf numFmtId="46" fontId="1" fillId="2" borderId="0" xfId="0" applyNumberFormat="1" applyFont="1" applyFill="1" applyAlignment="1">
      <alignment horizontal="center"/>
    </xf>
    <xf numFmtId="46" fontId="1" fillId="2" borderId="17" xfId="0" applyNumberFormat="1" applyFont="1" applyFill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164" fontId="8" fillId="0" borderId="0" xfId="1" applyFont="1" applyFill="1" applyBorder="1" applyAlignment="1" applyProtection="1">
      <alignment horizontal="left" vertical="center" wrapText="1"/>
      <protection locked="0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12" fillId="2" borderId="0" xfId="0" applyFont="1" applyFill="1" applyAlignment="1" applyProtection="1">
      <alignment horizontal="center" vertical="center"/>
      <protection hidden="1"/>
    </xf>
  </cellXfs>
  <cellStyles count="2">
    <cellStyle name="Moneda 2" xfId="1" xr:uid="{4EF8CE86-4D3D-4FD6-8C52-EFE8FBD5A3ED}"/>
    <cellStyle name="Normal" xfId="0" builtinId="0"/>
  </cellStyles>
  <dxfs count="0"/>
  <tableStyles count="0" defaultTableStyle="TableStyleMedium2" defaultPivotStyle="PivotStyleLight16"/>
  <colors>
    <mruColors>
      <color rgb="FF2262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16934</xdr:colOff>
      <xdr:row>0</xdr:row>
      <xdr:rowOff>8467</xdr:rowOff>
    </xdr:from>
    <xdr:to>
      <xdr:col>4</xdr:col>
      <xdr:colOff>339428</xdr:colOff>
      <xdr:row>4</xdr:row>
      <xdr:rowOff>169333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340761-76CA-4583-ABE0-AE2E5F981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4" y="8467"/>
          <a:ext cx="3074161" cy="7704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3</xdr:col>
      <xdr:colOff>411560</xdr:colOff>
      <xdr:row>4</xdr:row>
      <xdr:rowOff>167640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6785AED-4F38-4134-BB03-62F328B7E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480"/>
          <a:ext cx="3009980" cy="754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W44"/>
  <sheetViews>
    <sheetView showGridLines="0" zoomScale="90" zoomScaleNormal="90" workbookViewId="0">
      <selection activeCell="D2" sqref="D2:V2"/>
    </sheetView>
  </sheetViews>
  <sheetFormatPr baseColWidth="10" defaultColWidth="11.44140625" defaultRowHeight="12" outlineLevelCol="1" x14ac:dyDescent="0.25"/>
  <cols>
    <col min="1" max="1" width="3.5546875" style="1" bestFit="1" customWidth="1"/>
    <col min="2" max="2" width="24" style="1" hidden="1" customWidth="1"/>
    <col min="3" max="3" width="11.44140625" style="1"/>
    <col min="4" max="4" width="25.109375" style="2" customWidth="1"/>
    <col min="5" max="5" width="15.33203125" style="2" customWidth="1" outlineLevel="1"/>
    <col min="6" max="6" width="8.33203125" style="1" customWidth="1" outlineLevel="1"/>
    <col min="7" max="7" width="12.77734375" style="1" customWidth="1" outlineLevel="1"/>
    <col min="8" max="8" width="9.77734375" style="1" customWidth="1" outlineLevel="1"/>
    <col min="9" max="15" width="7.77734375" style="1" customWidth="1" outlineLevel="1"/>
    <col min="16" max="16" width="10.88671875" style="1" customWidth="1" outlineLevel="1"/>
    <col min="17" max="22" width="7.77734375" style="1" customWidth="1" outlineLevel="1"/>
    <col min="23" max="23" width="8.21875" style="1" customWidth="1" outlineLevel="1"/>
    <col min="24" max="24" width="7.77734375" style="1" customWidth="1" outlineLevel="1"/>
    <col min="25" max="25" width="10.6640625" style="1" customWidth="1"/>
    <col min="26" max="16384" width="11.44140625" style="1"/>
  </cols>
  <sheetData>
    <row r="1" spans="1:49" s="3" customFormat="1" x14ac:dyDescent="0.25">
      <c r="A1" s="79"/>
      <c r="B1" s="80"/>
      <c r="C1" s="81"/>
      <c r="D1" s="108" t="s">
        <v>0</v>
      </c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21" t="s">
        <v>87</v>
      </c>
      <c r="X1" s="121"/>
      <c r="Y1" s="122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49" s="3" customFormat="1" x14ac:dyDescent="0.25">
      <c r="A2" s="82"/>
      <c r="B2" s="83"/>
      <c r="D2" s="109" t="s">
        <v>89</v>
      </c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21"/>
      <c r="X2" s="121"/>
      <c r="Y2" s="122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s="3" customFormat="1" x14ac:dyDescent="0.25">
      <c r="A3" s="87"/>
      <c r="B3" s="88"/>
      <c r="C3" s="89"/>
      <c r="D3" s="109" t="s">
        <v>29</v>
      </c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85"/>
      <c r="X3" s="85"/>
      <c r="Y3" s="86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s="3" customFormat="1" ht="12" customHeight="1" x14ac:dyDescent="0.25">
      <c r="A4" s="87"/>
      <c r="B4" s="88"/>
      <c r="C4" s="89"/>
      <c r="D4" s="84"/>
      <c r="H4" s="117" t="s">
        <v>62</v>
      </c>
      <c r="I4" s="117"/>
      <c r="J4" s="117"/>
      <c r="K4" s="117"/>
      <c r="L4" s="117"/>
      <c r="M4" s="117"/>
      <c r="N4" s="117"/>
      <c r="O4" s="85"/>
      <c r="P4" s="85"/>
      <c r="Q4" s="85"/>
      <c r="R4" s="85"/>
      <c r="S4" s="85"/>
      <c r="T4" s="85"/>
      <c r="U4" s="85"/>
      <c r="V4" s="85"/>
      <c r="W4" s="85"/>
      <c r="X4" s="85"/>
      <c r="Y4" s="86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spans="1:49" s="3" customFormat="1" ht="14.4" customHeight="1" thickBot="1" x14ac:dyDescent="0.3">
      <c r="A5" s="90"/>
      <c r="B5" s="91"/>
      <c r="C5" s="92"/>
      <c r="D5" s="93"/>
      <c r="E5" s="94"/>
      <c r="F5" s="94"/>
      <c r="G5" s="94"/>
      <c r="H5" s="95"/>
      <c r="I5" s="119" t="s">
        <v>23</v>
      </c>
      <c r="J5" s="119"/>
      <c r="K5" s="118">
        <v>2025</v>
      </c>
      <c r="L5" s="118"/>
      <c r="M5" s="118"/>
      <c r="N5" s="96"/>
      <c r="O5" s="97"/>
      <c r="P5" s="97"/>
      <c r="Q5" s="97"/>
      <c r="R5" s="97"/>
      <c r="S5" s="97"/>
      <c r="T5" s="97"/>
      <c r="U5" s="97"/>
      <c r="V5" s="97"/>
      <c r="W5" s="97"/>
      <c r="X5" s="97"/>
      <c r="Y5" s="98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spans="1:49" ht="12.6" thickBot="1" x14ac:dyDescent="0.3">
      <c r="A6" s="4"/>
      <c r="B6" s="2"/>
      <c r="D6" s="10"/>
      <c r="E6" s="10"/>
      <c r="F6" s="9"/>
      <c r="Y6" s="5"/>
    </row>
    <row r="7" spans="1:49" s="3" customFormat="1" x14ac:dyDescent="0.25">
      <c r="A7" s="11"/>
      <c r="B7" s="12" t="s">
        <v>26</v>
      </c>
      <c r="C7" s="13"/>
      <c r="D7" s="14"/>
      <c r="E7" s="25"/>
      <c r="F7" s="15"/>
      <c r="G7" s="114" t="s">
        <v>1</v>
      </c>
      <c r="H7" s="115"/>
      <c r="I7" s="115"/>
      <c r="J7" s="115"/>
      <c r="K7" s="115"/>
      <c r="L7" s="115"/>
      <c r="M7" s="115"/>
      <c r="N7" s="115"/>
      <c r="O7" s="116"/>
      <c r="P7" s="114" t="s">
        <v>2</v>
      </c>
      <c r="Q7" s="115"/>
      <c r="R7" s="115"/>
      <c r="S7" s="115"/>
      <c r="T7" s="115"/>
      <c r="U7" s="115"/>
      <c r="V7" s="115"/>
      <c r="W7" s="115"/>
      <c r="X7" s="116"/>
      <c r="Y7" s="15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 spans="1:49" s="3" customFormat="1" ht="32.4" customHeight="1" x14ac:dyDescent="0.25">
      <c r="A8" s="73" t="s">
        <v>3</v>
      </c>
      <c r="B8" s="73" t="s">
        <v>4</v>
      </c>
      <c r="C8" s="73" t="s">
        <v>44</v>
      </c>
      <c r="D8" s="73" t="s">
        <v>42</v>
      </c>
      <c r="E8" s="73" t="s">
        <v>45</v>
      </c>
      <c r="F8" s="74" t="s">
        <v>5</v>
      </c>
      <c r="G8" s="75" t="s">
        <v>84</v>
      </c>
      <c r="H8" s="73" t="s">
        <v>35</v>
      </c>
      <c r="I8" s="73" t="s">
        <v>36</v>
      </c>
      <c r="J8" s="73" t="s">
        <v>37</v>
      </c>
      <c r="K8" s="73" t="s">
        <v>6</v>
      </c>
      <c r="L8" s="73" t="s">
        <v>7</v>
      </c>
      <c r="M8" s="73" t="s">
        <v>8</v>
      </c>
      <c r="N8" s="73" t="s">
        <v>38</v>
      </c>
      <c r="O8" s="76" t="s">
        <v>9</v>
      </c>
      <c r="P8" s="77" t="s">
        <v>85</v>
      </c>
      <c r="Q8" s="73" t="s">
        <v>35</v>
      </c>
      <c r="R8" s="73" t="s">
        <v>36</v>
      </c>
      <c r="S8" s="73" t="s">
        <v>37</v>
      </c>
      <c r="T8" s="73" t="s">
        <v>6</v>
      </c>
      <c r="U8" s="73" t="s">
        <v>7</v>
      </c>
      <c r="V8" s="73" t="s">
        <v>10</v>
      </c>
      <c r="W8" s="73" t="s">
        <v>41</v>
      </c>
      <c r="X8" s="76" t="s">
        <v>9</v>
      </c>
      <c r="Y8" s="76" t="s">
        <v>11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spans="1:49" ht="24" customHeight="1" x14ac:dyDescent="0.25">
      <c r="A9" s="16">
        <v>1</v>
      </c>
      <c r="B9" s="17" t="s">
        <v>12</v>
      </c>
      <c r="C9" s="36" t="s">
        <v>82</v>
      </c>
      <c r="D9" s="37" t="s">
        <v>82</v>
      </c>
      <c r="E9" s="37" t="s">
        <v>82</v>
      </c>
      <c r="F9" s="39"/>
      <c r="G9" s="40"/>
      <c r="H9" s="42">
        <f>HOUR(G9)</f>
        <v>0</v>
      </c>
      <c r="I9" s="42">
        <f>MINUTE(G9)</f>
        <v>0</v>
      </c>
      <c r="J9" s="43">
        <f t="shared" ref="J9:J15" si="0">ROUND(I9/60,2)</f>
        <v>0</v>
      </c>
      <c r="K9" s="43">
        <f>H9+J9</f>
        <v>0</v>
      </c>
      <c r="L9" s="43">
        <f t="shared" ref="L9:L15" si="1">ROUND(F9/240,2)</f>
        <v>0</v>
      </c>
      <c r="M9" s="43">
        <f t="shared" ref="M9:M15" si="2">ROUND(L9*50%,2)</f>
        <v>0</v>
      </c>
      <c r="N9" s="43">
        <f t="shared" ref="N9:N15" si="3">L9+M9</f>
        <v>0</v>
      </c>
      <c r="O9" s="43">
        <f>ROUND(K9*N9,2)</f>
        <v>0</v>
      </c>
      <c r="P9" s="40"/>
      <c r="Q9" s="44">
        <f>HOUR(P9)</f>
        <v>0</v>
      </c>
      <c r="R9" s="44">
        <f>MINUTE(P9)</f>
        <v>0</v>
      </c>
      <c r="S9" s="43">
        <f t="shared" ref="S9:S15" si="4">ROUND(R9/60,2)</f>
        <v>0</v>
      </c>
      <c r="T9" s="43">
        <f t="shared" ref="T9:T15" si="5">Q9+S9</f>
        <v>0</v>
      </c>
      <c r="U9" s="43">
        <f t="shared" ref="U9:U15" si="6">ROUND(F9/240,2)</f>
        <v>0</v>
      </c>
      <c r="V9" s="43">
        <f t="shared" ref="V9:V15" si="7">ROUND(U9*100%,2)</f>
        <v>0</v>
      </c>
      <c r="W9" s="43">
        <f t="shared" ref="W9:W15" si="8">ROUND(U9+V9,2)</f>
        <v>0</v>
      </c>
      <c r="X9" s="43">
        <f t="shared" ref="X9:X15" si="9">ROUND(W9*T9,2)</f>
        <v>0</v>
      </c>
      <c r="Y9" s="78">
        <f t="shared" ref="Y9:Y15" si="10">O9+X9</f>
        <v>0</v>
      </c>
    </row>
    <row r="10" spans="1:49" ht="24" customHeight="1" x14ac:dyDescent="0.25">
      <c r="A10" s="16">
        <v>2</v>
      </c>
      <c r="B10" s="17" t="s">
        <v>12</v>
      </c>
      <c r="C10" s="36" t="s">
        <v>82</v>
      </c>
      <c r="D10" s="38" t="s">
        <v>82</v>
      </c>
      <c r="E10" s="37" t="s">
        <v>82</v>
      </c>
      <c r="F10" s="39"/>
      <c r="G10" s="40"/>
      <c r="H10" s="42">
        <f t="shared" ref="H10:H15" si="11">HOUR(G10)</f>
        <v>0</v>
      </c>
      <c r="I10" s="42">
        <f t="shared" ref="I10:I11" si="12">MINUTE(G10)</f>
        <v>0</v>
      </c>
      <c r="J10" s="43">
        <f t="shared" si="0"/>
        <v>0</v>
      </c>
      <c r="K10" s="43">
        <f>H10+J10</f>
        <v>0</v>
      </c>
      <c r="L10" s="43">
        <f t="shared" si="1"/>
        <v>0</v>
      </c>
      <c r="M10" s="43">
        <f t="shared" si="2"/>
        <v>0</v>
      </c>
      <c r="N10" s="43">
        <f t="shared" si="3"/>
        <v>0</v>
      </c>
      <c r="O10" s="43">
        <f t="shared" ref="O10:O15" si="13">K10*N10</f>
        <v>0</v>
      </c>
      <c r="P10" s="40"/>
      <c r="Q10" s="44">
        <f t="shared" ref="Q10:Q15" si="14">HOUR(P10)</f>
        <v>0</v>
      </c>
      <c r="R10" s="44">
        <f t="shared" ref="R10:R11" si="15">MINUTE(P10)</f>
        <v>0</v>
      </c>
      <c r="S10" s="43">
        <f t="shared" si="4"/>
        <v>0</v>
      </c>
      <c r="T10" s="43">
        <f t="shared" si="5"/>
        <v>0</v>
      </c>
      <c r="U10" s="43">
        <f t="shared" si="6"/>
        <v>0</v>
      </c>
      <c r="V10" s="43">
        <f t="shared" si="7"/>
        <v>0</v>
      </c>
      <c r="W10" s="43">
        <f t="shared" si="8"/>
        <v>0</v>
      </c>
      <c r="X10" s="43">
        <f t="shared" si="9"/>
        <v>0</v>
      </c>
      <c r="Y10" s="78">
        <f t="shared" si="10"/>
        <v>0</v>
      </c>
    </row>
    <row r="11" spans="1:49" ht="24" customHeight="1" x14ac:dyDescent="0.25">
      <c r="A11" s="16">
        <v>3</v>
      </c>
      <c r="B11" s="17" t="s">
        <v>12</v>
      </c>
      <c r="C11" s="36" t="s">
        <v>82</v>
      </c>
      <c r="D11" s="37" t="s">
        <v>82</v>
      </c>
      <c r="E11" s="37" t="s">
        <v>82</v>
      </c>
      <c r="F11" s="41"/>
      <c r="G11" s="40"/>
      <c r="H11" s="42">
        <f t="shared" si="11"/>
        <v>0</v>
      </c>
      <c r="I11" s="42">
        <f t="shared" si="12"/>
        <v>0</v>
      </c>
      <c r="J11" s="43">
        <f t="shared" si="0"/>
        <v>0</v>
      </c>
      <c r="K11" s="43">
        <f>H11+J11</f>
        <v>0</v>
      </c>
      <c r="L11" s="43">
        <f t="shared" si="1"/>
        <v>0</v>
      </c>
      <c r="M11" s="43">
        <f t="shared" si="2"/>
        <v>0</v>
      </c>
      <c r="N11" s="43">
        <f t="shared" si="3"/>
        <v>0</v>
      </c>
      <c r="O11" s="43">
        <f t="shared" si="13"/>
        <v>0</v>
      </c>
      <c r="P11" s="40"/>
      <c r="Q11" s="44">
        <f t="shared" si="14"/>
        <v>0</v>
      </c>
      <c r="R11" s="44">
        <f t="shared" si="15"/>
        <v>0</v>
      </c>
      <c r="S11" s="43">
        <f t="shared" si="4"/>
        <v>0</v>
      </c>
      <c r="T11" s="43">
        <f t="shared" si="5"/>
        <v>0</v>
      </c>
      <c r="U11" s="43">
        <f t="shared" si="6"/>
        <v>0</v>
      </c>
      <c r="V11" s="43">
        <f t="shared" si="7"/>
        <v>0</v>
      </c>
      <c r="W11" s="43">
        <f t="shared" si="8"/>
        <v>0</v>
      </c>
      <c r="X11" s="43">
        <f t="shared" si="9"/>
        <v>0</v>
      </c>
      <c r="Y11" s="78">
        <f t="shared" si="10"/>
        <v>0</v>
      </c>
    </row>
    <row r="12" spans="1:49" s="24" customFormat="1" ht="24" customHeight="1" x14ac:dyDescent="0.25">
      <c r="A12" s="16">
        <v>4</v>
      </c>
      <c r="B12" s="17" t="s">
        <v>12</v>
      </c>
      <c r="C12" s="36" t="s">
        <v>82</v>
      </c>
      <c r="D12" s="37" t="s">
        <v>82</v>
      </c>
      <c r="E12" s="37" t="s">
        <v>82</v>
      </c>
      <c r="F12" s="41"/>
      <c r="G12" s="40"/>
      <c r="H12" s="42">
        <f t="shared" si="11"/>
        <v>0</v>
      </c>
      <c r="I12" s="42">
        <f t="shared" ref="I12:I15" si="16">MINUTE(G12)</f>
        <v>0</v>
      </c>
      <c r="J12" s="43">
        <f t="shared" si="0"/>
        <v>0</v>
      </c>
      <c r="K12" s="43">
        <f>H12+J12</f>
        <v>0</v>
      </c>
      <c r="L12" s="43">
        <f t="shared" si="1"/>
        <v>0</v>
      </c>
      <c r="M12" s="43">
        <f t="shared" si="2"/>
        <v>0</v>
      </c>
      <c r="N12" s="43">
        <f t="shared" si="3"/>
        <v>0</v>
      </c>
      <c r="O12" s="43">
        <f t="shared" si="13"/>
        <v>0</v>
      </c>
      <c r="P12" s="40"/>
      <c r="Q12" s="44">
        <f t="shared" si="14"/>
        <v>0</v>
      </c>
      <c r="R12" s="44">
        <f t="shared" ref="R12:R15" si="17">MINUTE(P12)</f>
        <v>0</v>
      </c>
      <c r="S12" s="43">
        <f t="shared" si="4"/>
        <v>0</v>
      </c>
      <c r="T12" s="43">
        <f t="shared" si="5"/>
        <v>0</v>
      </c>
      <c r="U12" s="43">
        <f t="shared" si="6"/>
        <v>0</v>
      </c>
      <c r="V12" s="43">
        <f t="shared" si="7"/>
        <v>0</v>
      </c>
      <c r="W12" s="43">
        <f t="shared" si="8"/>
        <v>0</v>
      </c>
      <c r="X12" s="43">
        <f t="shared" si="9"/>
        <v>0</v>
      </c>
      <c r="Y12" s="78">
        <f t="shared" si="10"/>
        <v>0</v>
      </c>
    </row>
    <row r="13" spans="1:49" ht="24" customHeight="1" x14ac:dyDescent="0.25">
      <c r="A13" s="16">
        <v>5</v>
      </c>
      <c r="B13" s="17" t="s">
        <v>12</v>
      </c>
      <c r="C13" s="36" t="s">
        <v>82</v>
      </c>
      <c r="D13" s="36" t="s">
        <v>82</v>
      </c>
      <c r="E13" s="37" t="s">
        <v>82</v>
      </c>
      <c r="F13" s="39"/>
      <c r="G13" s="40"/>
      <c r="H13" s="42">
        <f t="shared" si="11"/>
        <v>0</v>
      </c>
      <c r="I13" s="42">
        <f t="shared" si="16"/>
        <v>0</v>
      </c>
      <c r="J13" s="43">
        <f t="shared" si="0"/>
        <v>0</v>
      </c>
      <c r="K13" s="43">
        <f t="shared" ref="K13" si="18">H13+J13</f>
        <v>0</v>
      </c>
      <c r="L13" s="43">
        <f t="shared" si="1"/>
        <v>0</v>
      </c>
      <c r="M13" s="43">
        <f t="shared" si="2"/>
        <v>0</v>
      </c>
      <c r="N13" s="43">
        <f t="shared" si="3"/>
        <v>0</v>
      </c>
      <c r="O13" s="43">
        <f t="shared" si="13"/>
        <v>0</v>
      </c>
      <c r="P13" s="40"/>
      <c r="Q13" s="44">
        <f t="shared" si="14"/>
        <v>0</v>
      </c>
      <c r="R13" s="44">
        <f t="shared" si="17"/>
        <v>0</v>
      </c>
      <c r="S13" s="43">
        <f t="shared" si="4"/>
        <v>0</v>
      </c>
      <c r="T13" s="43">
        <f t="shared" si="5"/>
        <v>0</v>
      </c>
      <c r="U13" s="43">
        <f t="shared" si="6"/>
        <v>0</v>
      </c>
      <c r="V13" s="43">
        <f t="shared" si="7"/>
        <v>0</v>
      </c>
      <c r="W13" s="43">
        <f t="shared" si="8"/>
        <v>0</v>
      </c>
      <c r="X13" s="43">
        <f t="shared" si="9"/>
        <v>0</v>
      </c>
      <c r="Y13" s="78">
        <f t="shared" si="10"/>
        <v>0</v>
      </c>
    </row>
    <row r="14" spans="1:49" ht="24" customHeight="1" x14ac:dyDescent="0.25">
      <c r="A14" s="16">
        <v>6</v>
      </c>
      <c r="B14" s="17" t="s">
        <v>12</v>
      </c>
      <c r="C14" s="36" t="s">
        <v>82</v>
      </c>
      <c r="D14" s="38" t="s">
        <v>82</v>
      </c>
      <c r="E14" s="37" t="s">
        <v>82</v>
      </c>
      <c r="F14" s="39"/>
      <c r="G14" s="40"/>
      <c r="H14" s="42">
        <f t="shared" si="11"/>
        <v>0</v>
      </c>
      <c r="I14" s="42">
        <f t="shared" si="16"/>
        <v>0</v>
      </c>
      <c r="J14" s="43">
        <f t="shared" si="0"/>
        <v>0</v>
      </c>
      <c r="K14" s="43">
        <f>H14+J14</f>
        <v>0</v>
      </c>
      <c r="L14" s="43">
        <f t="shared" si="1"/>
        <v>0</v>
      </c>
      <c r="M14" s="43">
        <f t="shared" si="2"/>
        <v>0</v>
      </c>
      <c r="N14" s="43">
        <f t="shared" si="3"/>
        <v>0</v>
      </c>
      <c r="O14" s="43">
        <f t="shared" si="13"/>
        <v>0</v>
      </c>
      <c r="P14" s="40"/>
      <c r="Q14" s="44">
        <f t="shared" si="14"/>
        <v>0</v>
      </c>
      <c r="R14" s="44">
        <f t="shared" si="17"/>
        <v>0</v>
      </c>
      <c r="S14" s="43">
        <f t="shared" si="4"/>
        <v>0</v>
      </c>
      <c r="T14" s="43">
        <f t="shared" si="5"/>
        <v>0</v>
      </c>
      <c r="U14" s="43">
        <f t="shared" si="6"/>
        <v>0</v>
      </c>
      <c r="V14" s="43">
        <f t="shared" si="7"/>
        <v>0</v>
      </c>
      <c r="W14" s="43">
        <f t="shared" si="8"/>
        <v>0</v>
      </c>
      <c r="X14" s="43">
        <f t="shared" si="9"/>
        <v>0</v>
      </c>
      <c r="Y14" s="78">
        <f t="shared" si="10"/>
        <v>0</v>
      </c>
    </row>
    <row r="15" spans="1:49" ht="24" customHeight="1" x14ac:dyDescent="0.25">
      <c r="A15" s="16">
        <v>7</v>
      </c>
      <c r="B15" s="19"/>
      <c r="C15" s="36" t="s">
        <v>82</v>
      </c>
      <c r="D15" s="38" t="s">
        <v>82</v>
      </c>
      <c r="E15" s="37" t="s">
        <v>82</v>
      </c>
      <c r="F15" s="41"/>
      <c r="G15" s="40"/>
      <c r="H15" s="42">
        <f t="shared" si="11"/>
        <v>0</v>
      </c>
      <c r="I15" s="42">
        <f t="shared" si="16"/>
        <v>0</v>
      </c>
      <c r="J15" s="43">
        <f t="shared" si="0"/>
        <v>0</v>
      </c>
      <c r="K15" s="43">
        <f>H15+J15</f>
        <v>0</v>
      </c>
      <c r="L15" s="43">
        <f t="shared" si="1"/>
        <v>0</v>
      </c>
      <c r="M15" s="43">
        <f t="shared" si="2"/>
        <v>0</v>
      </c>
      <c r="N15" s="43">
        <f t="shared" si="3"/>
        <v>0</v>
      </c>
      <c r="O15" s="43">
        <f t="shared" si="13"/>
        <v>0</v>
      </c>
      <c r="P15" s="40"/>
      <c r="Q15" s="44">
        <f t="shared" si="14"/>
        <v>0</v>
      </c>
      <c r="R15" s="44">
        <f t="shared" si="17"/>
        <v>0</v>
      </c>
      <c r="S15" s="43">
        <f t="shared" si="4"/>
        <v>0</v>
      </c>
      <c r="T15" s="43">
        <f t="shared" si="5"/>
        <v>0</v>
      </c>
      <c r="U15" s="43">
        <f t="shared" si="6"/>
        <v>0</v>
      </c>
      <c r="V15" s="43">
        <f t="shared" si="7"/>
        <v>0</v>
      </c>
      <c r="W15" s="43">
        <f t="shared" si="8"/>
        <v>0</v>
      </c>
      <c r="X15" s="43">
        <f t="shared" si="9"/>
        <v>0</v>
      </c>
      <c r="Y15" s="78">
        <f t="shared" si="10"/>
        <v>0</v>
      </c>
    </row>
    <row r="16" spans="1:49" ht="24" customHeight="1" x14ac:dyDescent="0.25">
      <c r="A16" s="16">
        <v>8</v>
      </c>
      <c r="B16" s="19"/>
      <c r="C16" s="36" t="s">
        <v>82</v>
      </c>
      <c r="D16" s="37" t="s">
        <v>82</v>
      </c>
      <c r="E16" s="37" t="s">
        <v>82</v>
      </c>
      <c r="F16" s="41"/>
      <c r="G16" s="40"/>
      <c r="H16" s="42">
        <f t="shared" ref="H16:H18" si="19">HOUR(G16)</f>
        <v>0</v>
      </c>
      <c r="I16" s="42">
        <f t="shared" ref="I16:I18" si="20">MINUTE(G16)</f>
        <v>0</v>
      </c>
      <c r="J16" s="43">
        <f t="shared" ref="J16:J18" si="21">ROUND(I16/60,2)</f>
        <v>0</v>
      </c>
      <c r="K16" s="43">
        <f t="shared" ref="K16:K18" si="22">H16+J16</f>
        <v>0</v>
      </c>
      <c r="L16" s="43">
        <f t="shared" ref="L16:L18" si="23">ROUND(F16/240,2)</f>
        <v>0</v>
      </c>
      <c r="M16" s="43">
        <f t="shared" ref="M16:M18" si="24">ROUND(L16*50%,2)</f>
        <v>0</v>
      </c>
      <c r="N16" s="43">
        <f t="shared" ref="N16:N18" si="25">L16+M16</f>
        <v>0</v>
      </c>
      <c r="O16" s="43">
        <f t="shared" ref="O16:O18" si="26">K16*N16</f>
        <v>0</v>
      </c>
      <c r="P16" s="40"/>
      <c r="Q16" s="44">
        <f t="shared" ref="Q16:Q18" si="27">HOUR(P16)</f>
        <v>0</v>
      </c>
      <c r="R16" s="44">
        <f t="shared" ref="R16:R18" si="28">MINUTE(P16)</f>
        <v>0</v>
      </c>
      <c r="S16" s="43">
        <f t="shared" ref="S16:S18" si="29">ROUND(R16/60,2)</f>
        <v>0</v>
      </c>
      <c r="T16" s="43">
        <f t="shared" ref="T16:T18" si="30">Q16+S16</f>
        <v>0</v>
      </c>
      <c r="U16" s="43">
        <f t="shared" ref="U16:U18" si="31">ROUND(F16/240,2)</f>
        <v>0</v>
      </c>
      <c r="V16" s="43">
        <f t="shared" ref="V16:V18" si="32">ROUND(U16*100%,2)</f>
        <v>0</v>
      </c>
      <c r="W16" s="43">
        <f t="shared" ref="W16:W18" si="33">ROUND(U16+V16,2)</f>
        <v>0</v>
      </c>
      <c r="X16" s="43">
        <f t="shared" ref="X16:X18" si="34">ROUND(W16*T16,2)</f>
        <v>0</v>
      </c>
      <c r="Y16" s="78">
        <f t="shared" ref="Y16:Y18" si="35">O16+X16</f>
        <v>0</v>
      </c>
    </row>
    <row r="17" spans="1:25" ht="24" customHeight="1" x14ac:dyDescent="0.25">
      <c r="A17" s="16">
        <v>9</v>
      </c>
      <c r="B17" s="19"/>
      <c r="C17" s="36" t="s">
        <v>82</v>
      </c>
      <c r="D17" s="37" t="s">
        <v>82</v>
      </c>
      <c r="E17" s="37" t="s">
        <v>82</v>
      </c>
      <c r="F17" s="41"/>
      <c r="G17" s="40"/>
      <c r="H17" s="42">
        <f t="shared" si="19"/>
        <v>0</v>
      </c>
      <c r="I17" s="42">
        <f t="shared" si="20"/>
        <v>0</v>
      </c>
      <c r="J17" s="43">
        <f t="shared" si="21"/>
        <v>0</v>
      </c>
      <c r="K17" s="43">
        <f t="shared" si="22"/>
        <v>0</v>
      </c>
      <c r="L17" s="43">
        <f t="shared" si="23"/>
        <v>0</v>
      </c>
      <c r="M17" s="43">
        <f t="shared" si="24"/>
        <v>0</v>
      </c>
      <c r="N17" s="43">
        <f t="shared" si="25"/>
        <v>0</v>
      </c>
      <c r="O17" s="43">
        <f t="shared" si="26"/>
        <v>0</v>
      </c>
      <c r="P17" s="40"/>
      <c r="Q17" s="44">
        <f t="shared" si="27"/>
        <v>0</v>
      </c>
      <c r="R17" s="44">
        <f t="shared" si="28"/>
        <v>0</v>
      </c>
      <c r="S17" s="43">
        <f t="shared" si="29"/>
        <v>0</v>
      </c>
      <c r="T17" s="43">
        <f t="shared" si="30"/>
        <v>0</v>
      </c>
      <c r="U17" s="43">
        <f t="shared" si="31"/>
        <v>0</v>
      </c>
      <c r="V17" s="43">
        <f t="shared" si="32"/>
        <v>0</v>
      </c>
      <c r="W17" s="43">
        <f t="shared" si="33"/>
        <v>0</v>
      </c>
      <c r="X17" s="43">
        <f t="shared" si="34"/>
        <v>0</v>
      </c>
      <c r="Y17" s="78">
        <f t="shared" si="35"/>
        <v>0</v>
      </c>
    </row>
    <row r="18" spans="1:25" ht="24" customHeight="1" x14ac:dyDescent="0.25">
      <c r="A18" s="16">
        <v>10</v>
      </c>
      <c r="B18" s="19"/>
      <c r="C18" s="36" t="s">
        <v>82</v>
      </c>
      <c r="D18" s="37" t="s">
        <v>82</v>
      </c>
      <c r="E18" s="37" t="s">
        <v>82</v>
      </c>
      <c r="F18" s="41"/>
      <c r="G18" s="40"/>
      <c r="H18" s="42">
        <f t="shared" si="19"/>
        <v>0</v>
      </c>
      <c r="I18" s="42">
        <f t="shared" si="20"/>
        <v>0</v>
      </c>
      <c r="J18" s="43">
        <f t="shared" si="21"/>
        <v>0</v>
      </c>
      <c r="K18" s="43">
        <f t="shared" si="22"/>
        <v>0</v>
      </c>
      <c r="L18" s="43">
        <f t="shared" si="23"/>
        <v>0</v>
      </c>
      <c r="M18" s="43">
        <f t="shared" si="24"/>
        <v>0</v>
      </c>
      <c r="N18" s="43">
        <f t="shared" si="25"/>
        <v>0</v>
      </c>
      <c r="O18" s="43">
        <f t="shared" si="26"/>
        <v>0</v>
      </c>
      <c r="P18" s="40"/>
      <c r="Q18" s="44">
        <f t="shared" si="27"/>
        <v>0</v>
      </c>
      <c r="R18" s="44">
        <f t="shared" si="28"/>
        <v>0</v>
      </c>
      <c r="S18" s="43">
        <f t="shared" si="29"/>
        <v>0</v>
      </c>
      <c r="T18" s="43">
        <f t="shared" si="30"/>
        <v>0</v>
      </c>
      <c r="U18" s="43">
        <f t="shared" si="31"/>
        <v>0</v>
      </c>
      <c r="V18" s="43">
        <f t="shared" si="32"/>
        <v>0</v>
      </c>
      <c r="W18" s="43">
        <f t="shared" si="33"/>
        <v>0</v>
      </c>
      <c r="X18" s="43">
        <f t="shared" si="34"/>
        <v>0</v>
      </c>
      <c r="Y18" s="78">
        <f t="shared" si="35"/>
        <v>0</v>
      </c>
    </row>
    <row r="19" spans="1:25" ht="24" customHeight="1" x14ac:dyDescent="0.25">
      <c r="A19" s="16">
        <v>11</v>
      </c>
      <c r="B19" s="19"/>
      <c r="C19" s="36" t="s">
        <v>82</v>
      </c>
      <c r="D19" s="37" t="s">
        <v>82</v>
      </c>
      <c r="E19" s="37" t="s">
        <v>82</v>
      </c>
      <c r="F19" s="41"/>
      <c r="G19" s="40"/>
      <c r="H19" s="42">
        <f t="shared" ref="H19:H28" si="36">HOUR(G19)</f>
        <v>0</v>
      </c>
      <c r="I19" s="42">
        <f t="shared" ref="I19:I28" si="37">MINUTE(G19)</f>
        <v>0</v>
      </c>
      <c r="J19" s="43">
        <f t="shared" ref="J19:J28" si="38">ROUND(I19/60,2)</f>
        <v>0</v>
      </c>
      <c r="K19" s="43">
        <f t="shared" ref="K19:K28" si="39">H19+J19</f>
        <v>0</v>
      </c>
      <c r="L19" s="43">
        <f t="shared" ref="L19:L28" si="40">ROUND(F19/240,2)</f>
        <v>0</v>
      </c>
      <c r="M19" s="43">
        <f t="shared" ref="M19:M28" si="41">ROUND(L19*50%,2)</f>
        <v>0</v>
      </c>
      <c r="N19" s="43">
        <f t="shared" ref="N19:N28" si="42">L19+M19</f>
        <v>0</v>
      </c>
      <c r="O19" s="43">
        <f t="shared" ref="O19:O28" si="43">K19*N19</f>
        <v>0</v>
      </c>
      <c r="P19" s="40"/>
      <c r="Q19" s="44">
        <f t="shared" ref="Q19:Q28" si="44">HOUR(P19)</f>
        <v>0</v>
      </c>
      <c r="R19" s="44">
        <f t="shared" ref="R19:R28" si="45">MINUTE(P19)</f>
        <v>0</v>
      </c>
      <c r="S19" s="43">
        <f t="shared" ref="S19:S28" si="46">ROUND(R19/60,2)</f>
        <v>0</v>
      </c>
      <c r="T19" s="43">
        <f t="shared" ref="T19:T28" si="47">Q19+S19</f>
        <v>0</v>
      </c>
      <c r="U19" s="43">
        <f t="shared" ref="U19:U28" si="48">ROUND(F19/240,2)</f>
        <v>0</v>
      </c>
      <c r="V19" s="43">
        <f t="shared" ref="V19:V28" si="49">ROUND(U19*100%,2)</f>
        <v>0</v>
      </c>
      <c r="W19" s="43">
        <f t="shared" ref="W19:W28" si="50">ROUND(U19+V19,2)</f>
        <v>0</v>
      </c>
      <c r="X19" s="43">
        <f t="shared" ref="X19:X28" si="51">ROUND(W19*T19,2)</f>
        <v>0</v>
      </c>
      <c r="Y19" s="78">
        <f t="shared" ref="Y19:Y28" si="52">O19+X19</f>
        <v>0</v>
      </c>
    </row>
    <row r="20" spans="1:25" ht="24" customHeight="1" x14ac:dyDescent="0.25">
      <c r="A20" s="16">
        <v>12</v>
      </c>
      <c r="B20" s="19"/>
      <c r="C20" s="36" t="s">
        <v>82</v>
      </c>
      <c r="D20" s="37" t="s">
        <v>82</v>
      </c>
      <c r="E20" s="37" t="s">
        <v>82</v>
      </c>
      <c r="F20" s="41"/>
      <c r="G20" s="40"/>
      <c r="H20" s="42">
        <f t="shared" si="36"/>
        <v>0</v>
      </c>
      <c r="I20" s="42">
        <f t="shared" si="37"/>
        <v>0</v>
      </c>
      <c r="J20" s="43">
        <f t="shared" si="38"/>
        <v>0</v>
      </c>
      <c r="K20" s="43">
        <f t="shared" si="39"/>
        <v>0</v>
      </c>
      <c r="L20" s="43">
        <f t="shared" si="40"/>
        <v>0</v>
      </c>
      <c r="M20" s="43">
        <f t="shared" si="41"/>
        <v>0</v>
      </c>
      <c r="N20" s="43">
        <f t="shared" si="42"/>
        <v>0</v>
      </c>
      <c r="O20" s="43">
        <f t="shared" si="43"/>
        <v>0</v>
      </c>
      <c r="P20" s="40"/>
      <c r="Q20" s="44">
        <f t="shared" si="44"/>
        <v>0</v>
      </c>
      <c r="R20" s="44">
        <f t="shared" si="45"/>
        <v>0</v>
      </c>
      <c r="S20" s="43">
        <f t="shared" si="46"/>
        <v>0</v>
      </c>
      <c r="T20" s="43">
        <f t="shared" si="47"/>
        <v>0</v>
      </c>
      <c r="U20" s="43">
        <f t="shared" si="48"/>
        <v>0</v>
      </c>
      <c r="V20" s="43">
        <f t="shared" si="49"/>
        <v>0</v>
      </c>
      <c r="W20" s="43">
        <f t="shared" si="50"/>
        <v>0</v>
      </c>
      <c r="X20" s="43">
        <f t="shared" si="51"/>
        <v>0</v>
      </c>
      <c r="Y20" s="78">
        <f t="shared" si="52"/>
        <v>0</v>
      </c>
    </row>
    <row r="21" spans="1:25" ht="24" customHeight="1" x14ac:dyDescent="0.25">
      <c r="A21" s="16">
        <v>13</v>
      </c>
      <c r="B21" s="19"/>
      <c r="C21" s="36" t="s">
        <v>82</v>
      </c>
      <c r="D21" s="37" t="s">
        <v>82</v>
      </c>
      <c r="E21" s="37" t="s">
        <v>82</v>
      </c>
      <c r="F21" s="41"/>
      <c r="G21" s="40"/>
      <c r="H21" s="42">
        <f t="shared" si="36"/>
        <v>0</v>
      </c>
      <c r="I21" s="42">
        <f t="shared" si="37"/>
        <v>0</v>
      </c>
      <c r="J21" s="43">
        <f t="shared" si="38"/>
        <v>0</v>
      </c>
      <c r="K21" s="43">
        <f t="shared" si="39"/>
        <v>0</v>
      </c>
      <c r="L21" s="43">
        <f t="shared" si="40"/>
        <v>0</v>
      </c>
      <c r="M21" s="43">
        <f t="shared" si="41"/>
        <v>0</v>
      </c>
      <c r="N21" s="43">
        <f t="shared" si="42"/>
        <v>0</v>
      </c>
      <c r="O21" s="43">
        <f t="shared" si="43"/>
        <v>0</v>
      </c>
      <c r="P21" s="40"/>
      <c r="Q21" s="44">
        <f t="shared" si="44"/>
        <v>0</v>
      </c>
      <c r="R21" s="44">
        <f t="shared" si="45"/>
        <v>0</v>
      </c>
      <c r="S21" s="43">
        <f t="shared" si="46"/>
        <v>0</v>
      </c>
      <c r="T21" s="43">
        <f t="shared" si="47"/>
        <v>0</v>
      </c>
      <c r="U21" s="43">
        <f t="shared" si="48"/>
        <v>0</v>
      </c>
      <c r="V21" s="43">
        <f t="shared" si="49"/>
        <v>0</v>
      </c>
      <c r="W21" s="43">
        <f t="shared" si="50"/>
        <v>0</v>
      </c>
      <c r="X21" s="43">
        <f t="shared" si="51"/>
        <v>0</v>
      </c>
      <c r="Y21" s="78">
        <f t="shared" si="52"/>
        <v>0</v>
      </c>
    </row>
    <row r="22" spans="1:25" ht="24" customHeight="1" x14ac:dyDescent="0.25">
      <c r="A22" s="16">
        <v>14</v>
      </c>
      <c r="B22" s="19"/>
      <c r="C22" s="36" t="s">
        <v>82</v>
      </c>
      <c r="D22" s="37" t="s">
        <v>82</v>
      </c>
      <c r="E22" s="37" t="s">
        <v>82</v>
      </c>
      <c r="F22" s="41"/>
      <c r="G22" s="40"/>
      <c r="H22" s="42">
        <f t="shared" si="36"/>
        <v>0</v>
      </c>
      <c r="I22" s="42">
        <f t="shared" si="37"/>
        <v>0</v>
      </c>
      <c r="J22" s="43">
        <f t="shared" si="38"/>
        <v>0</v>
      </c>
      <c r="K22" s="43">
        <f t="shared" si="39"/>
        <v>0</v>
      </c>
      <c r="L22" s="43">
        <f t="shared" si="40"/>
        <v>0</v>
      </c>
      <c r="M22" s="43">
        <f t="shared" si="41"/>
        <v>0</v>
      </c>
      <c r="N22" s="43">
        <f t="shared" si="42"/>
        <v>0</v>
      </c>
      <c r="O22" s="43">
        <f t="shared" si="43"/>
        <v>0</v>
      </c>
      <c r="P22" s="40"/>
      <c r="Q22" s="44">
        <f t="shared" si="44"/>
        <v>0</v>
      </c>
      <c r="R22" s="44">
        <f t="shared" si="45"/>
        <v>0</v>
      </c>
      <c r="S22" s="43">
        <f t="shared" si="46"/>
        <v>0</v>
      </c>
      <c r="T22" s="43">
        <f t="shared" si="47"/>
        <v>0</v>
      </c>
      <c r="U22" s="43">
        <f t="shared" si="48"/>
        <v>0</v>
      </c>
      <c r="V22" s="43">
        <f t="shared" si="49"/>
        <v>0</v>
      </c>
      <c r="W22" s="43">
        <f t="shared" si="50"/>
        <v>0</v>
      </c>
      <c r="X22" s="43">
        <f t="shared" si="51"/>
        <v>0</v>
      </c>
      <c r="Y22" s="78">
        <f t="shared" si="52"/>
        <v>0</v>
      </c>
    </row>
    <row r="23" spans="1:25" ht="24" customHeight="1" x14ac:dyDescent="0.25">
      <c r="A23" s="16">
        <v>15</v>
      </c>
      <c r="B23" s="19"/>
      <c r="C23" s="36" t="s">
        <v>82</v>
      </c>
      <c r="D23" s="37" t="s">
        <v>82</v>
      </c>
      <c r="E23" s="37" t="s">
        <v>82</v>
      </c>
      <c r="F23" s="41"/>
      <c r="G23" s="40"/>
      <c r="H23" s="42">
        <f t="shared" si="36"/>
        <v>0</v>
      </c>
      <c r="I23" s="42">
        <f t="shared" si="37"/>
        <v>0</v>
      </c>
      <c r="J23" s="43">
        <f t="shared" si="38"/>
        <v>0</v>
      </c>
      <c r="K23" s="43">
        <f t="shared" si="39"/>
        <v>0</v>
      </c>
      <c r="L23" s="43">
        <f t="shared" si="40"/>
        <v>0</v>
      </c>
      <c r="M23" s="43">
        <f t="shared" si="41"/>
        <v>0</v>
      </c>
      <c r="N23" s="43">
        <f t="shared" si="42"/>
        <v>0</v>
      </c>
      <c r="O23" s="43">
        <f t="shared" si="43"/>
        <v>0</v>
      </c>
      <c r="P23" s="40"/>
      <c r="Q23" s="44">
        <f t="shared" si="44"/>
        <v>0</v>
      </c>
      <c r="R23" s="44">
        <f t="shared" si="45"/>
        <v>0</v>
      </c>
      <c r="S23" s="43">
        <f t="shared" si="46"/>
        <v>0</v>
      </c>
      <c r="T23" s="43">
        <f t="shared" si="47"/>
        <v>0</v>
      </c>
      <c r="U23" s="43">
        <f t="shared" si="48"/>
        <v>0</v>
      </c>
      <c r="V23" s="43">
        <f t="shared" si="49"/>
        <v>0</v>
      </c>
      <c r="W23" s="43">
        <f t="shared" si="50"/>
        <v>0</v>
      </c>
      <c r="X23" s="43">
        <f t="shared" si="51"/>
        <v>0</v>
      </c>
      <c r="Y23" s="78">
        <f t="shared" si="52"/>
        <v>0</v>
      </c>
    </row>
    <row r="24" spans="1:25" ht="24" customHeight="1" x14ac:dyDescent="0.25">
      <c r="A24" s="16">
        <v>16</v>
      </c>
      <c r="B24" s="19"/>
      <c r="C24" s="36" t="s">
        <v>82</v>
      </c>
      <c r="D24" s="37" t="s">
        <v>82</v>
      </c>
      <c r="E24" s="37" t="s">
        <v>82</v>
      </c>
      <c r="F24" s="41"/>
      <c r="G24" s="40"/>
      <c r="H24" s="42">
        <f t="shared" si="36"/>
        <v>0</v>
      </c>
      <c r="I24" s="42">
        <f t="shared" si="37"/>
        <v>0</v>
      </c>
      <c r="J24" s="43">
        <f t="shared" si="38"/>
        <v>0</v>
      </c>
      <c r="K24" s="43">
        <f t="shared" si="39"/>
        <v>0</v>
      </c>
      <c r="L24" s="43">
        <f t="shared" si="40"/>
        <v>0</v>
      </c>
      <c r="M24" s="43">
        <f t="shared" si="41"/>
        <v>0</v>
      </c>
      <c r="N24" s="43">
        <f t="shared" si="42"/>
        <v>0</v>
      </c>
      <c r="O24" s="43">
        <f t="shared" si="43"/>
        <v>0</v>
      </c>
      <c r="P24" s="40"/>
      <c r="Q24" s="44">
        <f t="shared" si="44"/>
        <v>0</v>
      </c>
      <c r="R24" s="44">
        <f t="shared" si="45"/>
        <v>0</v>
      </c>
      <c r="S24" s="43">
        <f t="shared" si="46"/>
        <v>0</v>
      </c>
      <c r="T24" s="43">
        <f t="shared" si="47"/>
        <v>0</v>
      </c>
      <c r="U24" s="43">
        <f t="shared" si="48"/>
        <v>0</v>
      </c>
      <c r="V24" s="43">
        <f t="shared" si="49"/>
        <v>0</v>
      </c>
      <c r="W24" s="43">
        <f t="shared" si="50"/>
        <v>0</v>
      </c>
      <c r="X24" s="43">
        <f t="shared" si="51"/>
        <v>0</v>
      </c>
      <c r="Y24" s="78">
        <f t="shared" si="52"/>
        <v>0</v>
      </c>
    </row>
    <row r="25" spans="1:25" ht="24" customHeight="1" x14ac:dyDescent="0.25">
      <c r="A25" s="16">
        <v>17</v>
      </c>
      <c r="B25" s="19"/>
      <c r="C25" s="36" t="s">
        <v>82</v>
      </c>
      <c r="D25" s="37" t="s">
        <v>82</v>
      </c>
      <c r="E25" s="37" t="s">
        <v>82</v>
      </c>
      <c r="F25" s="41"/>
      <c r="G25" s="40"/>
      <c r="H25" s="42">
        <f t="shared" si="36"/>
        <v>0</v>
      </c>
      <c r="I25" s="42">
        <f t="shared" si="37"/>
        <v>0</v>
      </c>
      <c r="J25" s="43">
        <f t="shared" si="38"/>
        <v>0</v>
      </c>
      <c r="K25" s="43">
        <f t="shared" si="39"/>
        <v>0</v>
      </c>
      <c r="L25" s="43">
        <f t="shared" si="40"/>
        <v>0</v>
      </c>
      <c r="M25" s="43">
        <f t="shared" si="41"/>
        <v>0</v>
      </c>
      <c r="N25" s="43">
        <f t="shared" si="42"/>
        <v>0</v>
      </c>
      <c r="O25" s="43">
        <f t="shared" si="43"/>
        <v>0</v>
      </c>
      <c r="P25" s="40"/>
      <c r="Q25" s="44">
        <f t="shared" si="44"/>
        <v>0</v>
      </c>
      <c r="R25" s="44">
        <f t="shared" si="45"/>
        <v>0</v>
      </c>
      <c r="S25" s="43">
        <f t="shared" si="46"/>
        <v>0</v>
      </c>
      <c r="T25" s="43">
        <f t="shared" si="47"/>
        <v>0</v>
      </c>
      <c r="U25" s="43">
        <f t="shared" si="48"/>
        <v>0</v>
      </c>
      <c r="V25" s="43">
        <f t="shared" si="49"/>
        <v>0</v>
      </c>
      <c r="W25" s="43">
        <f t="shared" si="50"/>
        <v>0</v>
      </c>
      <c r="X25" s="43">
        <f t="shared" si="51"/>
        <v>0</v>
      </c>
      <c r="Y25" s="78">
        <f t="shared" si="52"/>
        <v>0</v>
      </c>
    </row>
    <row r="26" spans="1:25" ht="24" customHeight="1" x14ac:dyDescent="0.25">
      <c r="A26" s="16">
        <v>18</v>
      </c>
      <c r="B26" s="19"/>
      <c r="C26" s="36" t="s">
        <v>82</v>
      </c>
      <c r="D26" s="37" t="s">
        <v>82</v>
      </c>
      <c r="E26" s="37" t="s">
        <v>82</v>
      </c>
      <c r="F26" s="41"/>
      <c r="G26" s="40"/>
      <c r="H26" s="42">
        <f t="shared" si="36"/>
        <v>0</v>
      </c>
      <c r="I26" s="42">
        <f t="shared" si="37"/>
        <v>0</v>
      </c>
      <c r="J26" s="43">
        <f t="shared" si="38"/>
        <v>0</v>
      </c>
      <c r="K26" s="43">
        <f t="shared" si="39"/>
        <v>0</v>
      </c>
      <c r="L26" s="43">
        <f t="shared" si="40"/>
        <v>0</v>
      </c>
      <c r="M26" s="43">
        <f t="shared" si="41"/>
        <v>0</v>
      </c>
      <c r="N26" s="43">
        <f t="shared" si="42"/>
        <v>0</v>
      </c>
      <c r="O26" s="43">
        <f t="shared" si="43"/>
        <v>0</v>
      </c>
      <c r="P26" s="40"/>
      <c r="Q26" s="44">
        <f t="shared" si="44"/>
        <v>0</v>
      </c>
      <c r="R26" s="44">
        <f t="shared" si="45"/>
        <v>0</v>
      </c>
      <c r="S26" s="43">
        <f t="shared" si="46"/>
        <v>0</v>
      </c>
      <c r="T26" s="43">
        <f t="shared" si="47"/>
        <v>0</v>
      </c>
      <c r="U26" s="43">
        <f t="shared" si="48"/>
        <v>0</v>
      </c>
      <c r="V26" s="43">
        <f t="shared" si="49"/>
        <v>0</v>
      </c>
      <c r="W26" s="43">
        <f t="shared" si="50"/>
        <v>0</v>
      </c>
      <c r="X26" s="43">
        <f t="shared" si="51"/>
        <v>0</v>
      </c>
      <c r="Y26" s="78">
        <f t="shared" si="52"/>
        <v>0</v>
      </c>
    </row>
    <row r="27" spans="1:25" ht="24" customHeight="1" x14ac:dyDescent="0.25">
      <c r="A27" s="16">
        <v>19</v>
      </c>
      <c r="B27" s="19"/>
      <c r="C27" s="36" t="s">
        <v>82</v>
      </c>
      <c r="D27" s="37" t="s">
        <v>82</v>
      </c>
      <c r="E27" s="37" t="s">
        <v>82</v>
      </c>
      <c r="F27" s="41"/>
      <c r="G27" s="40"/>
      <c r="H27" s="42">
        <f t="shared" si="36"/>
        <v>0</v>
      </c>
      <c r="I27" s="42">
        <f t="shared" si="37"/>
        <v>0</v>
      </c>
      <c r="J27" s="43">
        <f t="shared" si="38"/>
        <v>0</v>
      </c>
      <c r="K27" s="43">
        <f t="shared" si="39"/>
        <v>0</v>
      </c>
      <c r="L27" s="43">
        <f t="shared" si="40"/>
        <v>0</v>
      </c>
      <c r="M27" s="43">
        <f t="shared" si="41"/>
        <v>0</v>
      </c>
      <c r="N27" s="43">
        <f t="shared" si="42"/>
        <v>0</v>
      </c>
      <c r="O27" s="43">
        <f t="shared" si="43"/>
        <v>0</v>
      </c>
      <c r="P27" s="40"/>
      <c r="Q27" s="44">
        <f t="shared" si="44"/>
        <v>0</v>
      </c>
      <c r="R27" s="44">
        <f t="shared" si="45"/>
        <v>0</v>
      </c>
      <c r="S27" s="43">
        <f t="shared" si="46"/>
        <v>0</v>
      </c>
      <c r="T27" s="43">
        <f t="shared" si="47"/>
        <v>0</v>
      </c>
      <c r="U27" s="43">
        <f t="shared" si="48"/>
        <v>0</v>
      </c>
      <c r="V27" s="43">
        <f t="shared" si="49"/>
        <v>0</v>
      </c>
      <c r="W27" s="43">
        <f t="shared" si="50"/>
        <v>0</v>
      </c>
      <c r="X27" s="43">
        <f t="shared" si="51"/>
        <v>0</v>
      </c>
      <c r="Y27" s="78">
        <f t="shared" si="52"/>
        <v>0</v>
      </c>
    </row>
    <row r="28" spans="1:25" ht="24" customHeight="1" x14ac:dyDescent="0.25">
      <c r="A28" s="16">
        <v>20</v>
      </c>
      <c r="B28" s="19"/>
      <c r="C28" s="36" t="s">
        <v>82</v>
      </c>
      <c r="D28" s="37" t="s">
        <v>82</v>
      </c>
      <c r="E28" s="37" t="s">
        <v>82</v>
      </c>
      <c r="F28" s="41"/>
      <c r="G28" s="40"/>
      <c r="H28" s="42">
        <f t="shared" si="36"/>
        <v>0</v>
      </c>
      <c r="I28" s="42">
        <f t="shared" si="37"/>
        <v>0</v>
      </c>
      <c r="J28" s="43">
        <f t="shared" si="38"/>
        <v>0</v>
      </c>
      <c r="K28" s="43">
        <f t="shared" si="39"/>
        <v>0</v>
      </c>
      <c r="L28" s="43">
        <f t="shared" si="40"/>
        <v>0</v>
      </c>
      <c r="M28" s="43">
        <f t="shared" si="41"/>
        <v>0</v>
      </c>
      <c r="N28" s="43">
        <f t="shared" si="42"/>
        <v>0</v>
      </c>
      <c r="O28" s="43">
        <f t="shared" si="43"/>
        <v>0</v>
      </c>
      <c r="P28" s="40"/>
      <c r="Q28" s="44">
        <f t="shared" si="44"/>
        <v>0</v>
      </c>
      <c r="R28" s="44">
        <f t="shared" si="45"/>
        <v>0</v>
      </c>
      <c r="S28" s="43">
        <f t="shared" si="46"/>
        <v>0</v>
      </c>
      <c r="T28" s="43">
        <f t="shared" si="47"/>
        <v>0</v>
      </c>
      <c r="U28" s="43">
        <f t="shared" si="48"/>
        <v>0</v>
      </c>
      <c r="V28" s="43">
        <f t="shared" si="49"/>
        <v>0</v>
      </c>
      <c r="W28" s="43">
        <f t="shared" si="50"/>
        <v>0</v>
      </c>
      <c r="X28" s="43">
        <f t="shared" si="51"/>
        <v>0</v>
      </c>
      <c r="Y28" s="78">
        <f t="shared" si="52"/>
        <v>0</v>
      </c>
    </row>
    <row r="29" spans="1:25" s="6" customFormat="1" ht="20.399999999999999" customHeight="1" thickBot="1" x14ac:dyDescent="0.3">
      <c r="A29" s="18"/>
      <c r="B29" s="19"/>
      <c r="C29" s="20"/>
      <c r="D29" s="21"/>
      <c r="E29" s="21"/>
      <c r="F29" s="22"/>
      <c r="G29" s="111" t="s">
        <v>17</v>
      </c>
      <c r="H29" s="112"/>
      <c r="I29" s="112"/>
      <c r="J29" s="112"/>
      <c r="K29" s="112"/>
      <c r="L29" s="112"/>
      <c r="M29" s="112"/>
      <c r="N29" s="113"/>
      <c r="O29" s="23">
        <f>SUM(O9:O28)</f>
        <v>0</v>
      </c>
      <c r="P29" s="111" t="s">
        <v>18</v>
      </c>
      <c r="Q29" s="112"/>
      <c r="R29" s="112"/>
      <c r="S29" s="112"/>
      <c r="T29" s="112"/>
      <c r="U29" s="112"/>
      <c r="V29" s="112"/>
      <c r="W29" s="113"/>
      <c r="X29" s="23">
        <f>SUM(X9:X28)</f>
        <v>0</v>
      </c>
      <c r="Y29" s="8">
        <f>SUM(Y9:Y28)</f>
        <v>0</v>
      </c>
    </row>
    <row r="31" spans="1:25" x14ac:dyDescent="0.25">
      <c r="A31" s="45"/>
      <c r="B31" s="45"/>
      <c r="C31" s="45"/>
      <c r="D31" s="46"/>
      <c r="E31" s="46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</row>
    <row r="32" spans="1:25" x14ac:dyDescent="0.25">
      <c r="A32" s="45"/>
      <c r="B32" s="45"/>
      <c r="C32" s="45"/>
      <c r="D32" s="46"/>
      <c r="E32" s="46"/>
      <c r="F32" s="45"/>
      <c r="G32" s="45"/>
      <c r="H32" s="45"/>
      <c r="I32" s="45"/>
      <c r="J32" s="45"/>
      <c r="K32" s="45"/>
      <c r="L32" s="45"/>
      <c r="M32" s="45"/>
      <c r="N32" s="45"/>
      <c r="O32" s="45"/>
      <c r="Q32" s="45"/>
      <c r="R32" s="45"/>
      <c r="S32" s="45"/>
      <c r="T32" s="45"/>
      <c r="U32" s="45"/>
      <c r="V32" s="45"/>
      <c r="W32" s="45"/>
      <c r="X32" s="45"/>
      <c r="Y32" s="45"/>
    </row>
    <row r="33" spans="1:49" s="7" customFormat="1" ht="14.4" x14ac:dyDescent="0.3">
      <c r="A33" s="47"/>
      <c r="B33" s="47" t="s">
        <v>19</v>
      </c>
      <c r="C33" s="120" t="s">
        <v>19</v>
      </c>
      <c r="D33" s="120"/>
      <c r="E33" s="47"/>
      <c r="F33" s="47"/>
      <c r="H33" s="47" t="s">
        <v>20</v>
      </c>
      <c r="I33" s="47"/>
      <c r="J33" s="47"/>
      <c r="K33" s="47"/>
      <c r="L33" s="47"/>
      <c r="N33" s="52"/>
      <c r="O33" s="47"/>
      <c r="P33" s="47" t="s">
        <v>21</v>
      </c>
      <c r="Q33" s="53"/>
      <c r="R33" s="53"/>
      <c r="S33" s="47"/>
      <c r="T33" s="47"/>
      <c r="U33" s="47"/>
      <c r="V33" s="47"/>
      <c r="W33" s="47"/>
      <c r="X33" s="47"/>
      <c r="Y33" s="54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</row>
    <row r="34" spans="1:49" s="7" customFormat="1" ht="14.4" x14ac:dyDescent="0.3">
      <c r="A34" s="47"/>
      <c r="B34" s="47"/>
      <c r="C34" s="47"/>
      <c r="D34" s="47"/>
      <c r="E34" s="48"/>
      <c r="F34" s="48"/>
      <c r="H34" s="47"/>
      <c r="I34" s="47"/>
      <c r="J34" s="47"/>
      <c r="K34" s="47"/>
      <c r="L34" s="47"/>
      <c r="N34" s="55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</row>
    <row r="35" spans="1:49" s="7" customFormat="1" ht="14.4" x14ac:dyDescent="0.3">
      <c r="A35" s="47"/>
      <c r="B35" s="47"/>
      <c r="C35" s="47"/>
      <c r="D35" s="47"/>
      <c r="E35" s="48"/>
      <c r="F35" s="48"/>
      <c r="H35" s="47"/>
      <c r="I35" s="47"/>
      <c r="J35" s="47"/>
      <c r="K35" s="47"/>
      <c r="L35" s="47"/>
      <c r="N35" s="55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</row>
    <row r="36" spans="1:49" s="7" customFormat="1" ht="14.4" x14ac:dyDescent="0.3">
      <c r="A36" s="47"/>
      <c r="B36" s="47"/>
      <c r="C36" s="47"/>
      <c r="D36" s="47"/>
      <c r="E36" s="48"/>
      <c r="F36" s="48"/>
      <c r="H36" s="47"/>
      <c r="I36" s="47"/>
      <c r="J36" s="47"/>
      <c r="K36" s="47"/>
      <c r="L36" s="47"/>
      <c r="N36" s="55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</row>
    <row r="37" spans="1:49" s="7" customFormat="1" ht="14.4" customHeight="1" x14ac:dyDescent="0.3">
      <c r="A37" s="47"/>
      <c r="B37" s="47" t="s">
        <v>28</v>
      </c>
      <c r="C37" s="47" t="s">
        <v>39</v>
      </c>
      <c r="D37" s="47"/>
      <c r="E37" s="47"/>
      <c r="F37" s="56"/>
      <c r="H37" s="47" t="s">
        <v>39</v>
      </c>
      <c r="I37" s="47"/>
      <c r="J37" s="47"/>
      <c r="K37" s="47"/>
      <c r="L37" s="47"/>
      <c r="N37" s="55"/>
      <c r="O37" s="47"/>
      <c r="P37" s="47" t="s">
        <v>40</v>
      </c>
      <c r="Q37" s="47"/>
      <c r="R37" s="47"/>
      <c r="S37" s="47"/>
      <c r="T37" s="47"/>
      <c r="U37" s="47"/>
      <c r="V37" s="47"/>
      <c r="W37" s="47"/>
      <c r="X37" s="47"/>
      <c r="Y37" s="4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</row>
    <row r="38" spans="1:49" s="7" customFormat="1" ht="14.4" customHeight="1" x14ac:dyDescent="0.3">
      <c r="A38" s="47"/>
      <c r="B38" s="49" t="s">
        <v>25</v>
      </c>
      <c r="C38" s="110" t="s">
        <v>25</v>
      </c>
      <c r="D38" s="110"/>
      <c r="E38" s="47"/>
      <c r="F38" s="57"/>
      <c r="H38" s="57" t="s">
        <v>25</v>
      </c>
      <c r="I38" s="47"/>
      <c r="J38" s="47"/>
      <c r="K38" s="47"/>
      <c r="L38" s="47"/>
      <c r="N38" s="52"/>
      <c r="O38" s="47"/>
      <c r="P38" s="49" t="s">
        <v>22</v>
      </c>
      <c r="Q38" s="47"/>
      <c r="R38" s="47"/>
      <c r="S38" s="47"/>
      <c r="T38" s="47"/>
      <c r="U38" s="47"/>
      <c r="V38" s="47"/>
      <c r="W38" s="47"/>
      <c r="X38" s="47"/>
      <c r="Y38" s="47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</row>
    <row r="39" spans="1:49" ht="14.4" x14ac:dyDescent="0.3">
      <c r="A39" s="50"/>
      <c r="B39" s="50"/>
      <c r="C39" s="50"/>
      <c r="D39" s="51"/>
      <c r="E39" s="51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4" spans="1:49" x14ac:dyDescent="0.25">
      <c r="D44" s="1"/>
    </row>
  </sheetData>
  <sheetProtection algorithmName="SHA-512" hashValue="Ii3ixG698FVOkOBrdLWqYZ03f6I4EoXS5jLVJB+AHai4abpptHH+rhWftf0FD1tRABrQ+P6zsjAUsyVHS0vdMw==" saltValue="CDv5Mh4yjbqYJ9tzv1XO2Q==" spinCount="100000"/>
  <sortState xmlns:xlrd2="http://schemas.microsoft.com/office/spreadsheetml/2017/richdata2" ref="C9:D18">
    <sortCondition ref="D9:D18"/>
  </sortState>
  <mergeCells count="14">
    <mergeCell ref="D1:V1"/>
    <mergeCell ref="D3:V3"/>
    <mergeCell ref="C38:D38"/>
    <mergeCell ref="P29:W29"/>
    <mergeCell ref="G7:O7"/>
    <mergeCell ref="P7:X7"/>
    <mergeCell ref="D2:V2"/>
    <mergeCell ref="H4:N4"/>
    <mergeCell ref="K5:M5"/>
    <mergeCell ref="I5:J5"/>
    <mergeCell ref="C33:D33"/>
    <mergeCell ref="G29:N29"/>
    <mergeCell ref="W2:Y2"/>
    <mergeCell ref="W1:Y1"/>
  </mergeCells>
  <phoneticPr fontId="3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6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35DB5D96-00DB-4DE7-BE10-46F1E9F9B792}">
          <x14:formula1>
            <xm:f>Hoja1!$D$4:$D$15</xm:f>
          </x14:formula1>
          <xm:sqref>I5</xm:sqref>
        </x14:dataValidation>
        <x14:dataValidation type="list" allowBlank="1" showInputMessage="1" showErrorMessage="1" xr:uid="{BB5A93F6-9B75-4E23-98E6-8E7420D3D3DE}">
          <x14:formula1>
            <xm:f>Hoja1!$E$4:$E$14</xm:f>
          </x14:formula1>
          <xm:sqref>K5</xm:sqref>
        </x14:dataValidation>
        <x14:dataValidation type="list" allowBlank="1" showInputMessage="1" showErrorMessage="1" xr:uid="{E5C10FF1-2D4E-4793-9EF9-FEBF8908B3CD}">
          <x14:formula1>
            <xm:f>Hoja1!$F$4:$F$30</xm:f>
          </x14:formula1>
          <xm:sqref>H4:N4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2B07-F805-47EC-B9CB-2BD5C7A70858}">
  <sheetPr>
    <pageSetUpPr fitToPage="1"/>
  </sheetPr>
  <dimension ref="A1:O35"/>
  <sheetViews>
    <sheetView showGridLines="0" tabSelected="1" zoomScaleNormal="100" workbookViewId="0">
      <pane ySplit="7" topLeftCell="A8" activePane="bottomLeft" state="frozen"/>
      <selection activeCell="C7" sqref="C7"/>
      <selection pane="bottomLeft" activeCell="D2" sqref="D2:K2"/>
    </sheetView>
  </sheetViews>
  <sheetFormatPr baseColWidth="10" defaultColWidth="11.44140625" defaultRowHeight="10.199999999999999" x14ac:dyDescent="0.2"/>
  <cols>
    <col min="1" max="1" width="2.88671875" style="29" bestFit="1" customWidth="1"/>
    <col min="2" max="2" width="11.44140625" style="29"/>
    <col min="3" max="3" width="23.5546875" style="29" customWidth="1"/>
    <col min="4" max="4" width="13.21875" style="29" customWidth="1"/>
    <col min="5" max="5" width="8.77734375" style="29" customWidth="1"/>
    <col min="6" max="6" width="13.33203125" style="29" customWidth="1"/>
    <col min="7" max="7" width="16.6640625" style="29" customWidth="1"/>
    <col min="8" max="8" width="11.44140625" style="29" customWidth="1"/>
    <col min="9" max="10" width="9.5546875" style="29" customWidth="1"/>
    <col min="11" max="11" width="10.109375" style="29" customWidth="1"/>
    <col min="12" max="12" width="11.6640625" style="29" customWidth="1"/>
    <col min="13" max="13" width="11" style="29" customWidth="1"/>
    <col min="14" max="16384" width="11.44140625" style="29"/>
  </cols>
  <sheetData>
    <row r="1" spans="1:15" s="28" customFormat="1" ht="16.2" customHeight="1" x14ac:dyDescent="0.25">
      <c r="A1" s="125"/>
      <c r="B1" s="126"/>
      <c r="C1" s="99"/>
      <c r="D1" s="108" t="s">
        <v>0</v>
      </c>
      <c r="E1" s="108"/>
      <c r="F1" s="108"/>
      <c r="G1" s="108"/>
      <c r="H1" s="108"/>
      <c r="I1" s="108"/>
      <c r="J1" s="108"/>
      <c r="K1" s="108"/>
      <c r="L1" s="131" t="s">
        <v>86</v>
      </c>
      <c r="M1" s="132"/>
    </row>
    <row r="2" spans="1:15" s="28" customFormat="1" ht="12" x14ac:dyDescent="0.25">
      <c r="A2" s="127"/>
      <c r="B2" s="128"/>
      <c r="D2" s="109" t="s">
        <v>88</v>
      </c>
      <c r="E2" s="109"/>
      <c r="F2" s="109"/>
      <c r="G2" s="109"/>
      <c r="H2" s="109"/>
      <c r="I2" s="109"/>
      <c r="J2" s="109"/>
      <c r="K2" s="109"/>
      <c r="L2" s="131"/>
      <c r="M2" s="132"/>
    </row>
    <row r="3" spans="1:15" s="28" customFormat="1" ht="10.199999999999999" customHeight="1" x14ac:dyDescent="0.25">
      <c r="A3" s="127"/>
      <c r="B3" s="128"/>
      <c r="D3" s="109" t="s">
        <v>29</v>
      </c>
      <c r="E3" s="109"/>
      <c r="F3" s="109"/>
      <c r="G3" s="109"/>
      <c r="H3" s="109"/>
      <c r="I3" s="109"/>
      <c r="J3" s="109"/>
      <c r="K3" s="109"/>
      <c r="L3" s="131"/>
      <c r="M3" s="132"/>
    </row>
    <row r="4" spans="1:15" s="28" customFormat="1" ht="10.199999999999999" customHeight="1" x14ac:dyDescent="0.2">
      <c r="A4" s="127"/>
      <c r="B4" s="128"/>
      <c r="C4" s="107"/>
      <c r="D4" s="107"/>
      <c r="F4" s="135" t="str">
        <f>'1. CÁLCULO CONSOLIDADO'!H4</f>
        <v>DIRECCIÓN GENERAL ADMINISTRATIVA</v>
      </c>
      <c r="G4" s="135"/>
      <c r="H4" s="135"/>
      <c r="I4" s="107"/>
      <c r="J4" s="107"/>
      <c r="K4" s="107"/>
      <c r="L4" s="106"/>
      <c r="M4" s="105"/>
    </row>
    <row r="5" spans="1:15" s="28" customFormat="1" ht="15" customHeight="1" thickBot="1" x14ac:dyDescent="0.25">
      <c r="A5" s="129"/>
      <c r="B5" s="130"/>
      <c r="C5" s="34"/>
      <c r="D5" s="34"/>
      <c r="E5" s="35"/>
      <c r="F5" s="102"/>
      <c r="G5" s="103" t="str">
        <f>'1. CÁLCULO CONSOLIDADO'!I5</f>
        <v>ENERO</v>
      </c>
      <c r="H5" s="104">
        <f>'1. CÁLCULO CONSOLIDADO'!K5</f>
        <v>2025</v>
      </c>
      <c r="I5" s="34"/>
      <c r="J5" s="34"/>
      <c r="K5" s="34"/>
      <c r="L5" s="133"/>
      <c r="M5" s="134"/>
    </row>
    <row r="6" spans="1:15" s="28" customFormat="1" x14ac:dyDescent="0.2">
      <c r="H6" s="29"/>
    </row>
    <row r="7" spans="1:15" s="30" customFormat="1" ht="36" customHeight="1" x14ac:dyDescent="0.2">
      <c r="A7" s="100" t="s">
        <v>43</v>
      </c>
      <c r="B7" s="100" t="s">
        <v>44</v>
      </c>
      <c r="C7" s="100" t="s">
        <v>42</v>
      </c>
      <c r="D7" s="100" t="s">
        <v>45</v>
      </c>
      <c r="E7" s="100" t="s">
        <v>5</v>
      </c>
      <c r="F7" s="100" t="s">
        <v>81</v>
      </c>
      <c r="G7" s="101" t="s">
        <v>46</v>
      </c>
      <c r="H7" s="100" t="s">
        <v>47</v>
      </c>
      <c r="I7" s="100" t="s">
        <v>48</v>
      </c>
      <c r="J7" s="100" t="s">
        <v>49</v>
      </c>
      <c r="K7" s="100" t="s">
        <v>50</v>
      </c>
      <c r="L7" s="100" t="s">
        <v>51</v>
      </c>
      <c r="M7" s="100" t="s">
        <v>52</v>
      </c>
    </row>
    <row r="8" spans="1:15" s="31" customFormat="1" ht="19.95" customHeight="1" x14ac:dyDescent="0.3">
      <c r="A8" s="69">
        <f>'1. CÁLCULO CONSOLIDADO'!A9</f>
        <v>1</v>
      </c>
      <c r="B8" s="70" t="str">
        <f>'1. CÁLCULO CONSOLIDADO'!C9</f>
        <v>-</v>
      </c>
      <c r="C8" s="71" t="str">
        <f>'1. CÁLCULO CONSOLIDADO'!D9</f>
        <v>-</v>
      </c>
      <c r="D8" s="71" t="str">
        <f>'1. CÁLCULO CONSOLIDADO'!E9</f>
        <v>-</v>
      </c>
      <c r="E8" s="72">
        <f>'1. CÁLCULO CONSOLIDADO'!F9</f>
        <v>0</v>
      </c>
      <c r="F8" s="72">
        <f>(G8/12)</f>
        <v>0</v>
      </c>
      <c r="G8" s="72">
        <f>'1. CÁLCULO CONSOLIDADO'!Y9</f>
        <v>0</v>
      </c>
      <c r="H8" s="72">
        <f t="shared" ref="H8" si="0">ROUND(F8+G8,2)</f>
        <v>0</v>
      </c>
      <c r="I8" s="72">
        <f t="shared" ref="I8" si="1">+ROUND(G8*9.45%,2)</f>
        <v>0</v>
      </c>
      <c r="J8" s="72">
        <f t="shared" ref="J8" si="2">+H8-I8</f>
        <v>0</v>
      </c>
      <c r="K8" s="72">
        <f t="shared" ref="K8" si="3">+ROUND(G8*11.15%,2)</f>
        <v>0</v>
      </c>
      <c r="L8" s="72">
        <f t="shared" ref="L8" si="4">+ROUND(G8*0.5%,2)</f>
        <v>0</v>
      </c>
      <c r="M8" s="72">
        <f t="shared" ref="M8" si="5">+ROUND(G8*0.5%,2)</f>
        <v>0</v>
      </c>
      <c r="O8" s="32"/>
    </row>
    <row r="9" spans="1:15" s="31" customFormat="1" ht="19.95" customHeight="1" x14ac:dyDescent="0.3">
      <c r="A9" s="69">
        <f>'1. CÁLCULO CONSOLIDADO'!A10</f>
        <v>2</v>
      </c>
      <c r="B9" s="70" t="str">
        <f>'1. CÁLCULO CONSOLIDADO'!C10</f>
        <v>-</v>
      </c>
      <c r="C9" s="71" t="str">
        <f>'1. CÁLCULO CONSOLIDADO'!D10</f>
        <v>-</v>
      </c>
      <c r="D9" s="71" t="str">
        <f>'1. CÁLCULO CONSOLIDADO'!E10</f>
        <v>-</v>
      </c>
      <c r="E9" s="72">
        <f>'1. CÁLCULO CONSOLIDADO'!F10</f>
        <v>0</v>
      </c>
      <c r="F9" s="72">
        <f t="shared" ref="F9:F27" si="6">(G9/12)</f>
        <v>0</v>
      </c>
      <c r="G9" s="72">
        <f>'1. CÁLCULO CONSOLIDADO'!Y10</f>
        <v>0</v>
      </c>
      <c r="H9" s="72">
        <f t="shared" ref="H9:H27" si="7">ROUND(F9+G9,2)</f>
        <v>0</v>
      </c>
      <c r="I9" s="72">
        <f t="shared" ref="I9:I27" si="8">+ROUND(G9*9.45%,2)</f>
        <v>0</v>
      </c>
      <c r="J9" s="72">
        <f t="shared" ref="J9:J27" si="9">+H9-I9</f>
        <v>0</v>
      </c>
      <c r="K9" s="72">
        <f t="shared" ref="K9:K27" si="10">+ROUND(G9*11.15%,2)</f>
        <v>0</v>
      </c>
      <c r="L9" s="72">
        <f t="shared" ref="L9:L27" si="11">+ROUND(G9*0.5%,2)</f>
        <v>0</v>
      </c>
      <c r="M9" s="72">
        <f t="shared" ref="M9:M27" si="12">+ROUND(G9*0.5%,2)</f>
        <v>0</v>
      </c>
      <c r="O9" s="32"/>
    </row>
    <row r="10" spans="1:15" s="31" customFormat="1" ht="19.95" customHeight="1" x14ac:dyDescent="0.2">
      <c r="A10" s="69">
        <f>'1. CÁLCULO CONSOLIDADO'!A11</f>
        <v>3</v>
      </c>
      <c r="B10" s="70" t="str">
        <f>'1. CÁLCULO CONSOLIDADO'!C11</f>
        <v>-</v>
      </c>
      <c r="C10" s="71" t="str">
        <f>'1. CÁLCULO CONSOLIDADO'!D11</f>
        <v>-</v>
      </c>
      <c r="D10" s="71" t="str">
        <f>'1. CÁLCULO CONSOLIDADO'!E11</f>
        <v>-</v>
      </c>
      <c r="E10" s="72">
        <f>'1. CÁLCULO CONSOLIDADO'!F11</f>
        <v>0</v>
      </c>
      <c r="F10" s="72">
        <f t="shared" si="6"/>
        <v>0</v>
      </c>
      <c r="G10" s="72">
        <f>'1. CÁLCULO CONSOLIDADO'!Y11</f>
        <v>0</v>
      </c>
      <c r="H10" s="72">
        <f t="shared" si="7"/>
        <v>0</v>
      </c>
      <c r="I10" s="72">
        <f t="shared" si="8"/>
        <v>0</v>
      </c>
      <c r="J10" s="72">
        <f t="shared" si="9"/>
        <v>0</v>
      </c>
      <c r="K10" s="72">
        <f t="shared" si="10"/>
        <v>0</v>
      </c>
      <c r="L10" s="72">
        <f t="shared" si="11"/>
        <v>0</v>
      </c>
      <c r="M10" s="72">
        <f t="shared" si="12"/>
        <v>0</v>
      </c>
      <c r="O10" s="29"/>
    </row>
    <row r="11" spans="1:15" s="31" customFormat="1" ht="19.95" customHeight="1" x14ac:dyDescent="0.3">
      <c r="A11" s="69">
        <f>'1. CÁLCULO CONSOLIDADO'!A12</f>
        <v>4</v>
      </c>
      <c r="B11" s="70" t="str">
        <f>'1. CÁLCULO CONSOLIDADO'!C12</f>
        <v>-</v>
      </c>
      <c r="C11" s="71" t="str">
        <f>'1. CÁLCULO CONSOLIDADO'!D12</f>
        <v>-</v>
      </c>
      <c r="D11" s="71" t="str">
        <f>'1. CÁLCULO CONSOLIDADO'!E12</f>
        <v>-</v>
      </c>
      <c r="E11" s="72">
        <f>'1. CÁLCULO CONSOLIDADO'!F12</f>
        <v>0</v>
      </c>
      <c r="F11" s="72">
        <f t="shared" si="6"/>
        <v>0</v>
      </c>
      <c r="G11" s="72">
        <f>'1. CÁLCULO CONSOLIDADO'!Y12</f>
        <v>0</v>
      </c>
      <c r="H11" s="72">
        <f t="shared" si="7"/>
        <v>0</v>
      </c>
      <c r="I11" s="72">
        <f t="shared" si="8"/>
        <v>0</v>
      </c>
      <c r="J11" s="72">
        <f t="shared" si="9"/>
        <v>0</v>
      </c>
      <c r="K11" s="72">
        <f t="shared" si="10"/>
        <v>0</v>
      </c>
      <c r="L11" s="72">
        <f t="shared" si="11"/>
        <v>0</v>
      </c>
      <c r="M11" s="72">
        <f t="shared" si="12"/>
        <v>0</v>
      </c>
      <c r="O11" s="32"/>
    </row>
    <row r="12" spans="1:15" s="31" customFormat="1" ht="19.95" customHeight="1" x14ac:dyDescent="0.3">
      <c r="A12" s="69">
        <f>'1. CÁLCULO CONSOLIDADO'!A13</f>
        <v>5</v>
      </c>
      <c r="B12" s="70" t="str">
        <f>'1. CÁLCULO CONSOLIDADO'!C13</f>
        <v>-</v>
      </c>
      <c r="C12" s="71" t="str">
        <f>'1. CÁLCULO CONSOLIDADO'!D13</f>
        <v>-</v>
      </c>
      <c r="D12" s="71" t="str">
        <f>'1. CÁLCULO CONSOLIDADO'!E13</f>
        <v>-</v>
      </c>
      <c r="E12" s="72">
        <f>'1. CÁLCULO CONSOLIDADO'!F13</f>
        <v>0</v>
      </c>
      <c r="F12" s="72">
        <f t="shared" si="6"/>
        <v>0</v>
      </c>
      <c r="G12" s="72">
        <f>'1. CÁLCULO CONSOLIDADO'!Y13</f>
        <v>0</v>
      </c>
      <c r="H12" s="72">
        <f t="shared" si="7"/>
        <v>0</v>
      </c>
      <c r="I12" s="72">
        <f t="shared" si="8"/>
        <v>0</v>
      </c>
      <c r="J12" s="72">
        <f t="shared" si="9"/>
        <v>0</v>
      </c>
      <c r="K12" s="72">
        <f t="shared" si="10"/>
        <v>0</v>
      </c>
      <c r="L12" s="72">
        <f t="shared" si="11"/>
        <v>0</v>
      </c>
      <c r="M12" s="72">
        <f t="shared" si="12"/>
        <v>0</v>
      </c>
      <c r="O12" s="32"/>
    </row>
    <row r="13" spans="1:15" s="31" customFormat="1" ht="19.95" customHeight="1" x14ac:dyDescent="0.3">
      <c r="A13" s="69">
        <f>'1. CÁLCULO CONSOLIDADO'!A14</f>
        <v>6</v>
      </c>
      <c r="B13" s="70" t="str">
        <f>'1. CÁLCULO CONSOLIDADO'!C14</f>
        <v>-</v>
      </c>
      <c r="C13" s="71" t="str">
        <f>'1. CÁLCULO CONSOLIDADO'!D14</f>
        <v>-</v>
      </c>
      <c r="D13" s="71" t="str">
        <f>'1. CÁLCULO CONSOLIDADO'!E14</f>
        <v>-</v>
      </c>
      <c r="E13" s="72">
        <f>'1. CÁLCULO CONSOLIDADO'!F14</f>
        <v>0</v>
      </c>
      <c r="F13" s="72">
        <f t="shared" si="6"/>
        <v>0</v>
      </c>
      <c r="G13" s="72">
        <f>'1. CÁLCULO CONSOLIDADO'!Y14</f>
        <v>0</v>
      </c>
      <c r="H13" s="72">
        <f t="shared" si="7"/>
        <v>0</v>
      </c>
      <c r="I13" s="72">
        <f t="shared" si="8"/>
        <v>0</v>
      </c>
      <c r="J13" s="72">
        <f t="shared" si="9"/>
        <v>0</v>
      </c>
      <c r="K13" s="72">
        <f t="shared" si="10"/>
        <v>0</v>
      </c>
      <c r="L13" s="72">
        <f t="shared" si="11"/>
        <v>0</v>
      </c>
      <c r="M13" s="72">
        <f t="shared" si="12"/>
        <v>0</v>
      </c>
      <c r="O13" s="32"/>
    </row>
    <row r="14" spans="1:15" s="31" customFormat="1" ht="19.95" customHeight="1" x14ac:dyDescent="0.3">
      <c r="A14" s="69">
        <f>'1. CÁLCULO CONSOLIDADO'!A15</f>
        <v>7</v>
      </c>
      <c r="B14" s="70" t="str">
        <f>'1. CÁLCULO CONSOLIDADO'!C15</f>
        <v>-</v>
      </c>
      <c r="C14" s="71" t="str">
        <f>'1. CÁLCULO CONSOLIDADO'!D15</f>
        <v>-</v>
      </c>
      <c r="D14" s="71" t="str">
        <f>'1. CÁLCULO CONSOLIDADO'!E15</f>
        <v>-</v>
      </c>
      <c r="E14" s="72">
        <f>'1. CÁLCULO CONSOLIDADO'!F15</f>
        <v>0</v>
      </c>
      <c r="F14" s="72">
        <f t="shared" si="6"/>
        <v>0</v>
      </c>
      <c r="G14" s="72">
        <f>'1. CÁLCULO CONSOLIDADO'!Y15</f>
        <v>0</v>
      </c>
      <c r="H14" s="72">
        <f t="shared" si="7"/>
        <v>0</v>
      </c>
      <c r="I14" s="72">
        <f t="shared" si="8"/>
        <v>0</v>
      </c>
      <c r="J14" s="72">
        <f t="shared" si="9"/>
        <v>0</v>
      </c>
      <c r="K14" s="72">
        <f t="shared" si="10"/>
        <v>0</v>
      </c>
      <c r="L14" s="72">
        <f t="shared" si="11"/>
        <v>0</v>
      </c>
      <c r="M14" s="72">
        <f t="shared" si="12"/>
        <v>0</v>
      </c>
      <c r="O14" s="32"/>
    </row>
    <row r="15" spans="1:15" s="31" customFormat="1" ht="19.95" customHeight="1" x14ac:dyDescent="0.3">
      <c r="A15" s="69">
        <f>'1. CÁLCULO CONSOLIDADO'!A16</f>
        <v>8</v>
      </c>
      <c r="B15" s="70" t="str">
        <f>'1. CÁLCULO CONSOLIDADO'!C16</f>
        <v>-</v>
      </c>
      <c r="C15" s="71" t="str">
        <f>'1. CÁLCULO CONSOLIDADO'!D16</f>
        <v>-</v>
      </c>
      <c r="D15" s="71" t="str">
        <f>'1. CÁLCULO CONSOLIDADO'!E16</f>
        <v>-</v>
      </c>
      <c r="E15" s="72">
        <f>'1. CÁLCULO CONSOLIDADO'!F16</f>
        <v>0</v>
      </c>
      <c r="F15" s="72">
        <f t="shared" si="6"/>
        <v>0</v>
      </c>
      <c r="G15" s="72">
        <f>'1. CÁLCULO CONSOLIDADO'!Y16</f>
        <v>0</v>
      </c>
      <c r="H15" s="72">
        <f t="shared" si="7"/>
        <v>0</v>
      </c>
      <c r="I15" s="72">
        <f t="shared" si="8"/>
        <v>0</v>
      </c>
      <c r="J15" s="72">
        <f t="shared" si="9"/>
        <v>0</v>
      </c>
      <c r="K15" s="72">
        <f t="shared" si="10"/>
        <v>0</v>
      </c>
      <c r="L15" s="72">
        <f t="shared" si="11"/>
        <v>0</v>
      </c>
      <c r="M15" s="72">
        <f t="shared" si="12"/>
        <v>0</v>
      </c>
      <c r="O15" s="32"/>
    </row>
    <row r="16" spans="1:15" s="31" customFormat="1" ht="19.95" customHeight="1" x14ac:dyDescent="0.3">
      <c r="A16" s="69">
        <f>'1. CÁLCULO CONSOLIDADO'!A17</f>
        <v>9</v>
      </c>
      <c r="B16" s="70" t="str">
        <f>'1. CÁLCULO CONSOLIDADO'!C17</f>
        <v>-</v>
      </c>
      <c r="C16" s="71" t="str">
        <f>'1. CÁLCULO CONSOLIDADO'!D17</f>
        <v>-</v>
      </c>
      <c r="D16" s="71" t="str">
        <f>'1. CÁLCULO CONSOLIDADO'!E17</f>
        <v>-</v>
      </c>
      <c r="E16" s="72">
        <f>'1. CÁLCULO CONSOLIDADO'!F17</f>
        <v>0</v>
      </c>
      <c r="F16" s="72">
        <f t="shared" si="6"/>
        <v>0</v>
      </c>
      <c r="G16" s="72">
        <f>'1. CÁLCULO CONSOLIDADO'!Y17</f>
        <v>0</v>
      </c>
      <c r="H16" s="72">
        <f t="shared" si="7"/>
        <v>0</v>
      </c>
      <c r="I16" s="72">
        <f t="shared" si="8"/>
        <v>0</v>
      </c>
      <c r="J16" s="72">
        <f t="shared" si="9"/>
        <v>0</v>
      </c>
      <c r="K16" s="72">
        <f t="shared" si="10"/>
        <v>0</v>
      </c>
      <c r="L16" s="72">
        <f t="shared" si="11"/>
        <v>0</v>
      </c>
      <c r="M16" s="72">
        <f t="shared" si="12"/>
        <v>0</v>
      </c>
      <c r="O16" s="32"/>
    </row>
    <row r="17" spans="1:15" s="31" customFormat="1" ht="19.95" customHeight="1" x14ac:dyDescent="0.3">
      <c r="A17" s="69">
        <f>'1. CÁLCULO CONSOLIDADO'!A18</f>
        <v>10</v>
      </c>
      <c r="B17" s="70" t="str">
        <f>'1. CÁLCULO CONSOLIDADO'!C18</f>
        <v>-</v>
      </c>
      <c r="C17" s="71" t="str">
        <f>'1. CÁLCULO CONSOLIDADO'!D18</f>
        <v>-</v>
      </c>
      <c r="D17" s="71" t="str">
        <f>'1. CÁLCULO CONSOLIDADO'!E18</f>
        <v>-</v>
      </c>
      <c r="E17" s="72">
        <f>'1. CÁLCULO CONSOLIDADO'!F18</f>
        <v>0</v>
      </c>
      <c r="F17" s="72">
        <f t="shared" si="6"/>
        <v>0</v>
      </c>
      <c r="G17" s="72">
        <f>'1. CÁLCULO CONSOLIDADO'!Y18</f>
        <v>0</v>
      </c>
      <c r="H17" s="72">
        <f t="shared" si="7"/>
        <v>0</v>
      </c>
      <c r="I17" s="72">
        <f t="shared" si="8"/>
        <v>0</v>
      </c>
      <c r="J17" s="72">
        <f t="shared" si="9"/>
        <v>0</v>
      </c>
      <c r="K17" s="72">
        <f t="shared" si="10"/>
        <v>0</v>
      </c>
      <c r="L17" s="72">
        <f t="shared" si="11"/>
        <v>0</v>
      </c>
      <c r="M17" s="72">
        <f t="shared" si="12"/>
        <v>0</v>
      </c>
      <c r="O17" s="32"/>
    </row>
    <row r="18" spans="1:15" s="31" customFormat="1" ht="19.95" customHeight="1" x14ac:dyDescent="0.3">
      <c r="A18" s="69">
        <f>'1. CÁLCULO CONSOLIDADO'!A19</f>
        <v>11</v>
      </c>
      <c r="B18" s="70" t="str">
        <f>'1. CÁLCULO CONSOLIDADO'!C19</f>
        <v>-</v>
      </c>
      <c r="C18" s="71" t="str">
        <f>'1. CÁLCULO CONSOLIDADO'!D19</f>
        <v>-</v>
      </c>
      <c r="D18" s="71" t="str">
        <f>'1. CÁLCULO CONSOLIDADO'!E19</f>
        <v>-</v>
      </c>
      <c r="E18" s="72">
        <f>'1. CÁLCULO CONSOLIDADO'!F19</f>
        <v>0</v>
      </c>
      <c r="F18" s="72">
        <f t="shared" si="6"/>
        <v>0</v>
      </c>
      <c r="G18" s="72">
        <f>'1. CÁLCULO CONSOLIDADO'!Y19</f>
        <v>0</v>
      </c>
      <c r="H18" s="72">
        <f t="shared" si="7"/>
        <v>0</v>
      </c>
      <c r="I18" s="72">
        <f t="shared" si="8"/>
        <v>0</v>
      </c>
      <c r="J18" s="72">
        <f t="shared" si="9"/>
        <v>0</v>
      </c>
      <c r="K18" s="72">
        <f t="shared" si="10"/>
        <v>0</v>
      </c>
      <c r="L18" s="72">
        <f t="shared" si="11"/>
        <v>0</v>
      </c>
      <c r="M18" s="72">
        <f t="shared" si="12"/>
        <v>0</v>
      </c>
      <c r="O18" s="32"/>
    </row>
    <row r="19" spans="1:15" s="31" customFormat="1" ht="19.95" customHeight="1" x14ac:dyDescent="0.3">
      <c r="A19" s="69">
        <f>'1. CÁLCULO CONSOLIDADO'!A20</f>
        <v>12</v>
      </c>
      <c r="B19" s="70" t="str">
        <f>'1. CÁLCULO CONSOLIDADO'!C20</f>
        <v>-</v>
      </c>
      <c r="C19" s="71" t="str">
        <f>'1. CÁLCULO CONSOLIDADO'!D20</f>
        <v>-</v>
      </c>
      <c r="D19" s="71" t="str">
        <f>'1. CÁLCULO CONSOLIDADO'!E20</f>
        <v>-</v>
      </c>
      <c r="E19" s="72">
        <f>'1. CÁLCULO CONSOLIDADO'!F20</f>
        <v>0</v>
      </c>
      <c r="F19" s="72">
        <f t="shared" si="6"/>
        <v>0</v>
      </c>
      <c r="G19" s="72">
        <f>'1. CÁLCULO CONSOLIDADO'!Y20</f>
        <v>0</v>
      </c>
      <c r="H19" s="72">
        <f t="shared" si="7"/>
        <v>0</v>
      </c>
      <c r="I19" s="72">
        <f t="shared" si="8"/>
        <v>0</v>
      </c>
      <c r="J19" s="72">
        <f t="shared" si="9"/>
        <v>0</v>
      </c>
      <c r="K19" s="72">
        <f t="shared" si="10"/>
        <v>0</v>
      </c>
      <c r="L19" s="72">
        <f t="shared" si="11"/>
        <v>0</v>
      </c>
      <c r="M19" s="72">
        <f t="shared" si="12"/>
        <v>0</v>
      </c>
      <c r="O19" s="32"/>
    </row>
    <row r="20" spans="1:15" s="31" customFormat="1" ht="19.95" customHeight="1" x14ac:dyDescent="0.3">
      <c r="A20" s="69">
        <f>'1. CÁLCULO CONSOLIDADO'!A21</f>
        <v>13</v>
      </c>
      <c r="B20" s="70" t="str">
        <f>'1. CÁLCULO CONSOLIDADO'!C21</f>
        <v>-</v>
      </c>
      <c r="C20" s="71" t="str">
        <f>'1. CÁLCULO CONSOLIDADO'!D21</f>
        <v>-</v>
      </c>
      <c r="D20" s="71" t="str">
        <f>'1. CÁLCULO CONSOLIDADO'!E21</f>
        <v>-</v>
      </c>
      <c r="E20" s="72">
        <f>'1. CÁLCULO CONSOLIDADO'!F21</f>
        <v>0</v>
      </c>
      <c r="F20" s="72">
        <f t="shared" si="6"/>
        <v>0</v>
      </c>
      <c r="G20" s="72">
        <f>'1. CÁLCULO CONSOLIDADO'!Y21</f>
        <v>0</v>
      </c>
      <c r="H20" s="72">
        <f t="shared" si="7"/>
        <v>0</v>
      </c>
      <c r="I20" s="72">
        <f t="shared" si="8"/>
        <v>0</v>
      </c>
      <c r="J20" s="72">
        <f t="shared" si="9"/>
        <v>0</v>
      </c>
      <c r="K20" s="72">
        <f t="shared" si="10"/>
        <v>0</v>
      </c>
      <c r="L20" s="72">
        <f t="shared" si="11"/>
        <v>0</v>
      </c>
      <c r="M20" s="72">
        <f t="shared" si="12"/>
        <v>0</v>
      </c>
      <c r="O20" s="32"/>
    </row>
    <row r="21" spans="1:15" s="31" customFormat="1" ht="19.95" customHeight="1" x14ac:dyDescent="0.3">
      <c r="A21" s="69">
        <f>'1. CÁLCULO CONSOLIDADO'!A22</f>
        <v>14</v>
      </c>
      <c r="B21" s="70" t="str">
        <f>'1. CÁLCULO CONSOLIDADO'!C22</f>
        <v>-</v>
      </c>
      <c r="C21" s="71" t="str">
        <f>'1. CÁLCULO CONSOLIDADO'!D22</f>
        <v>-</v>
      </c>
      <c r="D21" s="71" t="str">
        <f>'1. CÁLCULO CONSOLIDADO'!E22</f>
        <v>-</v>
      </c>
      <c r="E21" s="72">
        <f>'1. CÁLCULO CONSOLIDADO'!F22</f>
        <v>0</v>
      </c>
      <c r="F21" s="72">
        <f t="shared" si="6"/>
        <v>0</v>
      </c>
      <c r="G21" s="72">
        <f>'1. CÁLCULO CONSOLIDADO'!Y22</f>
        <v>0</v>
      </c>
      <c r="H21" s="72">
        <f t="shared" si="7"/>
        <v>0</v>
      </c>
      <c r="I21" s="72">
        <f t="shared" si="8"/>
        <v>0</v>
      </c>
      <c r="J21" s="72">
        <f t="shared" si="9"/>
        <v>0</v>
      </c>
      <c r="K21" s="72">
        <f t="shared" si="10"/>
        <v>0</v>
      </c>
      <c r="L21" s="72">
        <f t="shared" si="11"/>
        <v>0</v>
      </c>
      <c r="M21" s="72">
        <f t="shared" si="12"/>
        <v>0</v>
      </c>
      <c r="O21" s="32"/>
    </row>
    <row r="22" spans="1:15" s="31" customFormat="1" ht="19.95" customHeight="1" x14ac:dyDescent="0.3">
      <c r="A22" s="69">
        <f>'1. CÁLCULO CONSOLIDADO'!A23</f>
        <v>15</v>
      </c>
      <c r="B22" s="70" t="str">
        <f>'1. CÁLCULO CONSOLIDADO'!C23</f>
        <v>-</v>
      </c>
      <c r="C22" s="71" t="str">
        <f>'1. CÁLCULO CONSOLIDADO'!D23</f>
        <v>-</v>
      </c>
      <c r="D22" s="71" t="str">
        <f>'1. CÁLCULO CONSOLIDADO'!E23</f>
        <v>-</v>
      </c>
      <c r="E22" s="72">
        <f>'1. CÁLCULO CONSOLIDADO'!F23</f>
        <v>0</v>
      </c>
      <c r="F22" s="72">
        <f t="shared" si="6"/>
        <v>0</v>
      </c>
      <c r="G22" s="72">
        <f>'1. CÁLCULO CONSOLIDADO'!Y23</f>
        <v>0</v>
      </c>
      <c r="H22" s="72">
        <f t="shared" si="7"/>
        <v>0</v>
      </c>
      <c r="I22" s="72">
        <f t="shared" si="8"/>
        <v>0</v>
      </c>
      <c r="J22" s="72">
        <f t="shared" si="9"/>
        <v>0</v>
      </c>
      <c r="K22" s="72">
        <f t="shared" si="10"/>
        <v>0</v>
      </c>
      <c r="L22" s="72">
        <f t="shared" si="11"/>
        <v>0</v>
      </c>
      <c r="M22" s="72">
        <f t="shared" si="12"/>
        <v>0</v>
      </c>
      <c r="O22" s="32"/>
    </row>
    <row r="23" spans="1:15" s="31" customFormat="1" ht="19.95" customHeight="1" x14ac:dyDescent="0.3">
      <c r="A23" s="69">
        <f>'1. CÁLCULO CONSOLIDADO'!A24</f>
        <v>16</v>
      </c>
      <c r="B23" s="70" t="str">
        <f>'1. CÁLCULO CONSOLIDADO'!C24</f>
        <v>-</v>
      </c>
      <c r="C23" s="71" t="str">
        <f>'1. CÁLCULO CONSOLIDADO'!D24</f>
        <v>-</v>
      </c>
      <c r="D23" s="71" t="str">
        <f>'1. CÁLCULO CONSOLIDADO'!E24</f>
        <v>-</v>
      </c>
      <c r="E23" s="72">
        <f>'1. CÁLCULO CONSOLIDADO'!F24</f>
        <v>0</v>
      </c>
      <c r="F23" s="72">
        <f t="shared" si="6"/>
        <v>0</v>
      </c>
      <c r="G23" s="72">
        <f>'1. CÁLCULO CONSOLIDADO'!Y24</f>
        <v>0</v>
      </c>
      <c r="H23" s="72">
        <f t="shared" si="7"/>
        <v>0</v>
      </c>
      <c r="I23" s="72">
        <f t="shared" si="8"/>
        <v>0</v>
      </c>
      <c r="J23" s="72">
        <f t="shared" si="9"/>
        <v>0</v>
      </c>
      <c r="K23" s="72">
        <f t="shared" si="10"/>
        <v>0</v>
      </c>
      <c r="L23" s="72">
        <f t="shared" si="11"/>
        <v>0</v>
      </c>
      <c r="M23" s="72">
        <f t="shared" si="12"/>
        <v>0</v>
      </c>
      <c r="O23" s="32"/>
    </row>
    <row r="24" spans="1:15" s="31" customFormat="1" ht="19.95" customHeight="1" x14ac:dyDescent="0.3">
      <c r="A24" s="69">
        <f>'1. CÁLCULO CONSOLIDADO'!A25</f>
        <v>17</v>
      </c>
      <c r="B24" s="70" t="str">
        <f>'1. CÁLCULO CONSOLIDADO'!C25</f>
        <v>-</v>
      </c>
      <c r="C24" s="71" t="str">
        <f>'1. CÁLCULO CONSOLIDADO'!D25</f>
        <v>-</v>
      </c>
      <c r="D24" s="71" t="str">
        <f>'1. CÁLCULO CONSOLIDADO'!E25</f>
        <v>-</v>
      </c>
      <c r="E24" s="72">
        <f>'1. CÁLCULO CONSOLIDADO'!F25</f>
        <v>0</v>
      </c>
      <c r="F24" s="72">
        <f t="shared" si="6"/>
        <v>0</v>
      </c>
      <c r="G24" s="72">
        <f>'1. CÁLCULO CONSOLIDADO'!Y25</f>
        <v>0</v>
      </c>
      <c r="H24" s="72">
        <f t="shared" si="7"/>
        <v>0</v>
      </c>
      <c r="I24" s="72">
        <f t="shared" si="8"/>
        <v>0</v>
      </c>
      <c r="J24" s="72">
        <f t="shared" si="9"/>
        <v>0</v>
      </c>
      <c r="K24" s="72">
        <f t="shared" si="10"/>
        <v>0</v>
      </c>
      <c r="L24" s="72">
        <f t="shared" si="11"/>
        <v>0</v>
      </c>
      <c r="M24" s="72">
        <f t="shared" si="12"/>
        <v>0</v>
      </c>
      <c r="O24" s="32"/>
    </row>
    <row r="25" spans="1:15" s="31" customFormat="1" ht="19.95" customHeight="1" x14ac:dyDescent="0.3">
      <c r="A25" s="69">
        <f>'1. CÁLCULO CONSOLIDADO'!A26</f>
        <v>18</v>
      </c>
      <c r="B25" s="70" t="str">
        <f>'1. CÁLCULO CONSOLIDADO'!C26</f>
        <v>-</v>
      </c>
      <c r="C25" s="71" t="str">
        <f>'1. CÁLCULO CONSOLIDADO'!D26</f>
        <v>-</v>
      </c>
      <c r="D25" s="71" t="str">
        <f>'1. CÁLCULO CONSOLIDADO'!E26</f>
        <v>-</v>
      </c>
      <c r="E25" s="72">
        <f>'1. CÁLCULO CONSOLIDADO'!F26</f>
        <v>0</v>
      </c>
      <c r="F25" s="72">
        <f t="shared" si="6"/>
        <v>0</v>
      </c>
      <c r="G25" s="72">
        <f>'1. CÁLCULO CONSOLIDADO'!Y26</f>
        <v>0</v>
      </c>
      <c r="H25" s="72">
        <f t="shared" si="7"/>
        <v>0</v>
      </c>
      <c r="I25" s="72">
        <f t="shared" si="8"/>
        <v>0</v>
      </c>
      <c r="J25" s="72">
        <f t="shared" si="9"/>
        <v>0</v>
      </c>
      <c r="K25" s="72">
        <f t="shared" si="10"/>
        <v>0</v>
      </c>
      <c r="L25" s="72">
        <f t="shared" si="11"/>
        <v>0</v>
      </c>
      <c r="M25" s="72">
        <f t="shared" si="12"/>
        <v>0</v>
      </c>
      <c r="O25" s="32"/>
    </row>
    <row r="26" spans="1:15" s="31" customFormat="1" ht="19.95" customHeight="1" x14ac:dyDescent="0.3">
      <c r="A26" s="69">
        <f>'1. CÁLCULO CONSOLIDADO'!A27</f>
        <v>19</v>
      </c>
      <c r="B26" s="70" t="str">
        <f>'1. CÁLCULO CONSOLIDADO'!C27</f>
        <v>-</v>
      </c>
      <c r="C26" s="71" t="str">
        <f>'1. CÁLCULO CONSOLIDADO'!D27</f>
        <v>-</v>
      </c>
      <c r="D26" s="71" t="str">
        <f>'1. CÁLCULO CONSOLIDADO'!E27</f>
        <v>-</v>
      </c>
      <c r="E26" s="72">
        <f>'1. CÁLCULO CONSOLIDADO'!F27</f>
        <v>0</v>
      </c>
      <c r="F26" s="72">
        <f t="shared" si="6"/>
        <v>0</v>
      </c>
      <c r="G26" s="72">
        <f>'1. CÁLCULO CONSOLIDADO'!Y27</f>
        <v>0</v>
      </c>
      <c r="H26" s="72">
        <f t="shared" si="7"/>
        <v>0</v>
      </c>
      <c r="I26" s="72">
        <f t="shared" si="8"/>
        <v>0</v>
      </c>
      <c r="J26" s="72">
        <f t="shared" si="9"/>
        <v>0</v>
      </c>
      <c r="K26" s="72">
        <f t="shared" si="10"/>
        <v>0</v>
      </c>
      <c r="L26" s="72">
        <f t="shared" si="11"/>
        <v>0</v>
      </c>
      <c r="M26" s="72">
        <f t="shared" si="12"/>
        <v>0</v>
      </c>
      <c r="O26" s="32"/>
    </row>
    <row r="27" spans="1:15" s="31" customFormat="1" ht="19.95" customHeight="1" x14ac:dyDescent="0.3">
      <c r="A27" s="69">
        <f>'1. CÁLCULO CONSOLIDADO'!A28</f>
        <v>20</v>
      </c>
      <c r="B27" s="70" t="str">
        <f>'1. CÁLCULO CONSOLIDADO'!C28</f>
        <v>-</v>
      </c>
      <c r="C27" s="71" t="str">
        <f>'1. CÁLCULO CONSOLIDADO'!D28</f>
        <v>-</v>
      </c>
      <c r="D27" s="71" t="str">
        <f>'1. CÁLCULO CONSOLIDADO'!E28</f>
        <v>-</v>
      </c>
      <c r="E27" s="72">
        <f>'1. CÁLCULO CONSOLIDADO'!F28</f>
        <v>0</v>
      </c>
      <c r="F27" s="72">
        <f t="shared" si="6"/>
        <v>0</v>
      </c>
      <c r="G27" s="72">
        <f>'1. CÁLCULO CONSOLIDADO'!Y28</f>
        <v>0</v>
      </c>
      <c r="H27" s="72">
        <f t="shared" si="7"/>
        <v>0</v>
      </c>
      <c r="I27" s="72">
        <f t="shared" si="8"/>
        <v>0</v>
      </c>
      <c r="J27" s="72">
        <f t="shared" si="9"/>
        <v>0</v>
      </c>
      <c r="K27" s="72">
        <f t="shared" si="10"/>
        <v>0</v>
      </c>
      <c r="L27" s="72">
        <f t="shared" si="11"/>
        <v>0</v>
      </c>
      <c r="M27" s="72">
        <f t="shared" si="12"/>
        <v>0</v>
      </c>
      <c r="O27" s="32"/>
    </row>
    <row r="28" spans="1:15" s="31" customFormat="1" ht="19.95" customHeight="1" x14ac:dyDescent="0.3">
      <c r="A28" s="123" t="s">
        <v>53</v>
      </c>
      <c r="B28" s="123"/>
      <c r="C28" s="123"/>
      <c r="D28" s="123"/>
      <c r="E28" s="58">
        <f t="shared" ref="E28:M28" si="13">SUM(E8:E27)</f>
        <v>0</v>
      </c>
      <c r="F28" s="58">
        <f t="shared" si="13"/>
        <v>0</v>
      </c>
      <c r="G28" s="59">
        <f t="shared" si="13"/>
        <v>0</v>
      </c>
      <c r="H28" s="60">
        <f t="shared" si="13"/>
        <v>0</v>
      </c>
      <c r="I28" s="60">
        <f t="shared" si="13"/>
        <v>0</v>
      </c>
      <c r="J28" s="60">
        <f t="shared" si="13"/>
        <v>0</v>
      </c>
      <c r="K28" s="60">
        <f t="shared" si="13"/>
        <v>0</v>
      </c>
      <c r="L28" s="60">
        <f t="shared" si="13"/>
        <v>0</v>
      </c>
      <c r="M28" s="60">
        <f t="shared" si="13"/>
        <v>0</v>
      </c>
      <c r="O28" s="32"/>
    </row>
    <row r="29" spans="1:15" s="31" customFormat="1" ht="21" customHeight="1" x14ac:dyDescent="0.3">
      <c r="A29" s="61"/>
      <c r="B29" s="62"/>
      <c r="C29" s="63"/>
      <c r="D29" s="61"/>
      <c r="E29" s="64"/>
      <c r="F29" s="64"/>
      <c r="G29" s="64"/>
      <c r="H29" s="64"/>
      <c r="I29" s="64"/>
      <c r="J29" s="64"/>
      <c r="K29" s="64"/>
      <c r="L29" s="64"/>
      <c r="M29" s="64"/>
      <c r="O29" s="32"/>
    </row>
    <row r="30" spans="1:15" s="31" customFormat="1" ht="12.6" customHeight="1" x14ac:dyDescent="0.3">
      <c r="A30" s="61"/>
      <c r="B30" s="62" t="s">
        <v>19</v>
      </c>
      <c r="C30" s="63"/>
      <c r="D30" s="61"/>
      <c r="E30" s="124" t="s">
        <v>20</v>
      </c>
      <c r="F30" s="124"/>
      <c r="G30" s="64"/>
      <c r="I30" s="68" t="s">
        <v>21</v>
      </c>
      <c r="J30" s="68"/>
      <c r="K30" s="68"/>
      <c r="L30" s="68"/>
      <c r="M30" s="64"/>
      <c r="O30" s="32"/>
    </row>
    <row r="31" spans="1:15" s="31" customFormat="1" ht="41.4" customHeight="1" x14ac:dyDescent="0.3">
      <c r="A31" s="61"/>
      <c r="B31" s="62"/>
      <c r="C31" s="63"/>
      <c r="D31" s="61"/>
      <c r="E31" s="64"/>
      <c r="F31" s="64"/>
      <c r="G31" s="64"/>
      <c r="I31" s="68"/>
      <c r="J31" s="68"/>
      <c r="K31" s="68"/>
      <c r="L31" s="68"/>
      <c r="M31" s="64"/>
      <c r="O31" s="32"/>
    </row>
    <row r="32" spans="1:15" s="28" customFormat="1" x14ac:dyDescent="0.2">
      <c r="A32" s="65"/>
      <c r="B32" s="65" t="s">
        <v>39</v>
      </c>
      <c r="C32" s="65"/>
      <c r="D32" s="65"/>
      <c r="E32" s="65" t="s">
        <v>39</v>
      </c>
      <c r="F32" s="65"/>
      <c r="G32" s="66"/>
      <c r="I32" s="65" t="s">
        <v>40</v>
      </c>
      <c r="J32" s="65"/>
      <c r="K32" s="65"/>
      <c r="L32" s="65"/>
      <c r="M32" s="65"/>
    </row>
    <row r="33" spans="1:13" s="28" customFormat="1" x14ac:dyDescent="0.2">
      <c r="A33" s="65"/>
      <c r="B33" s="67" t="s">
        <v>25</v>
      </c>
      <c r="C33" s="65"/>
      <c r="D33" s="65"/>
      <c r="E33" s="67" t="s">
        <v>25</v>
      </c>
      <c r="F33" s="65"/>
      <c r="G33" s="66"/>
      <c r="I33" s="67" t="s">
        <v>54</v>
      </c>
      <c r="J33" s="65"/>
      <c r="K33" s="65"/>
      <c r="L33" s="65"/>
      <c r="M33" s="65"/>
    </row>
    <row r="34" spans="1:13" x14ac:dyDescent="0.2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</row>
    <row r="35" spans="1:13" x14ac:dyDescent="0.2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</row>
  </sheetData>
  <sheetProtection algorithmName="SHA-512" hashValue="arGjMFK5+MefqWov0bSwjjodw4x1bnLTyEIFll4+1s6ovRbIrqNGvgOT0pCqzW1iukatBSZ6FuRXJeGWYr07Cw==" saltValue="F7kLpruV9g4eGgcifpo1kA==" spinCount="100000"/>
  <mergeCells count="11">
    <mergeCell ref="A28:D28"/>
    <mergeCell ref="E30:F30"/>
    <mergeCell ref="A1:B5"/>
    <mergeCell ref="L1:M1"/>
    <mergeCell ref="L2:M2"/>
    <mergeCell ref="L5:M5"/>
    <mergeCell ref="L3:M3"/>
    <mergeCell ref="D1:K1"/>
    <mergeCell ref="D2:K2"/>
    <mergeCell ref="D3:K3"/>
    <mergeCell ref="F4:H4"/>
  </mergeCells>
  <phoneticPr fontId="3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8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FD65-90D9-4FBC-8852-A6075FA86506}">
  <dimension ref="B4:F30"/>
  <sheetViews>
    <sheetView topLeftCell="D5" workbookViewId="0">
      <selection activeCell="F31" sqref="F31"/>
    </sheetView>
  </sheetViews>
  <sheetFormatPr baseColWidth="10" defaultRowHeight="14.4" x14ac:dyDescent="0.3"/>
  <cols>
    <col min="6" max="6" width="60.109375" bestFit="1" customWidth="1"/>
  </cols>
  <sheetData>
    <row r="4" spans="2:6" x14ac:dyDescent="0.3">
      <c r="B4" s="27"/>
      <c r="C4" s="26"/>
      <c r="D4" t="s">
        <v>23</v>
      </c>
      <c r="E4">
        <v>2025</v>
      </c>
      <c r="F4" s="33" t="s">
        <v>55</v>
      </c>
    </row>
    <row r="5" spans="2:6" x14ac:dyDescent="0.3">
      <c r="B5" s="26"/>
      <c r="C5" s="26"/>
      <c r="D5" t="s">
        <v>24</v>
      </c>
      <c r="E5">
        <v>2026</v>
      </c>
      <c r="F5" s="33" t="s">
        <v>56</v>
      </c>
    </row>
    <row r="6" spans="2:6" x14ac:dyDescent="0.3">
      <c r="B6" s="26"/>
      <c r="C6" s="26"/>
      <c r="D6" t="s">
        <v>30</v>
      </c>
      <c r="E6">
        <v>2027</v>
      </c>
      <c r="F6" s="33" t="s">
        <v>57</v>
      </c>
    </row>
    <row r="7" spans="2:6" x14ac:dyDescent="0.3">
      <c r="B7" s="26"/>
      <c r="C7" s="26"/>
      <c r="D7" t="s">
        <v>31</v>
      </c>
      <c r="E7">
        <v>2028</v>
      </c>
      <c r="F7" s="33" t="s">
        <v>58</v>
      </c>
    </row>
    <row r="8" spans="2:6" x14ac:dyDescent="0.3">
      <c r="B8" s="26"/>
      <c r="C8" s="26"/>
      <c r="D8" t="s">
        <v>32</v>
      </c>
      <c r="E8">
        <v>2029</v>
      </c>
      <c r="F8" s="33" t="s">
        <v>59</v>
      </c>
    </row>
    <row r="9" spans="2:6" x14ac:dyDescent="0.3">
      <c r="D9" t="s">
        <v>27</v>
      </c>
      <c r="E9">
        <v>2030</v>
      </c>
      <c r="F9" s="33" t="s">
        <v>60</v>
      </c>
    </row>
    <row r="10" spans="2:6" x14ac:dyDescent="0.3">
      <c r="D10" t="s">
        <v>13</v>
      </c>
      <c r="E10">
        <v>2031</v>
      </c>
      <c r="F10" s="33" t="s">
        <v>61</v>
      </c>
    </row>
    <row r="11" spans="2:6" x14ac:dyDescent="0.3">
      <c r="D11" t="s">
        <v>33</v>
      </c>
      <c r="E11">
        <v>2032</v>
      </c>
      <c r="F11" s="33" t="s">
        <v>62</v>
      </c>
    </row>
    <row r="12" spans="2:6" x14ac:dyDescent="0.3">
      <c r="D12" t="s">
        <v>14</v>
      </c>
      <c r="E12">
        <v>2033</v>
      </c>
      <c r="F12" s="33" t="s">
        <v>63</v>
      </c>
    </row>
    <row r="13" spans="2:6" x14ac:dyDescent="0.3">
      <c r="D13" t="s">
        <v>16</v>
      </c>
      <c r="E13">
        <v>2034</v>
      </c>
      <c r="F13" s="33" t="s">
        <v>64</v>
      </c>
    </row>
    <row r="14" spans="2:6" x14ac:dyDescent="0.3">
      <c r="D14" t="s">
        <v>15</v>
      </c>
      <c r="E14">
        <v>2035</v>
      </c>
      <c r="F14" s="33" t="s">
        <v>65</v>
      </c>
    </row>
    <row r="15" spans="2:6" x14ac:dyDescent="0.3">
      <c r="D15" t="s">
        <v>34</v>
      </c>
      <c r="F15" s="33" t="s">
        <v>66</v>
      </c>
    </row>
    <row r="16" spans="2:6" x14ac:dyDescent="0.3">
      <c r="F16" s="33" t="s">
        <v>67</v>
      </c>
    </row>
    <row r="17" spans="6:6" x14ac:dyDescent="0.3">
      <c r="F17" s="33" t="s">
        <v>68</v>
      </c>
    </row>
    <row r="18" spans="6:6" x14ac:dyDescent="0.3">
      <c r="F18" s="33" t="s">
        <v>69</v>
      </c>
    </row>
    <row r="19" spans="6:6" x14ac:dyDescent="0.3">
      <c r="F19" s="33" t="s">
        <v>70</v>
      </c>
    </row>
    <row r="20" spans="6:6" x14ac:dyDescent="0.3">
      <c r="F20" s="33" t="s">
        <v>71</v>
      </c>
    </row>
    <row r="21" spans="6:6" x14ac:dyDescent="0.3">
      <c r="F21" s="33" t="s">
        <v>72</v>
      </c>
    </row>
    <row r="22" spans="6:6" x14ac:dyDescent="0.3">
      <c r="F22" s="33" t="s">
        <v>73</v>
      </c>
    </row>
    <row r="23" spans="6:6" x14ac:dyDescent="0.3">
      <c r="F23" s="33" t="s">
        <v>74</v>
      </c>
    </row>
    <row r="24" spans="6:6" x14ac:dyDescent="0.3">
      <c r="F24" s="33" t="s">
        <v>75</v>
      </c>
    </row>
    <row r="25" spans="6:6" x14ac:dyDescent="0.3">
      <c r="F25" s="33" t="s">
        <v>76</v>
      </c>
    </row>
    <row r="26" spans="6:6" x14ac:dyDescent="0.3">
      <c r="F26" s="33" t="s">
        <v>77</v>
      </c>
    </row>
    <row r="27" spans="6:6" x14ac:dyDescent="0.3">
      <c r="F27" s="33" t="s">
        <v>78</v>
      </c>
    </row>
    <row r="28" spans="6:6" x14ac:dyDescent="0.3">
      <c r="F28" s="33" t="s">
        <v>79</v>
      </c>
    </row>
    <row r="29" spans="6:6" x14ac:dyDescent="0.3">
      <c r="F29" s="33" t="s">
        <v>80</v>
      </c>
    </row>
    <row r="30" spans="6:6" x14ac:dyDescent="0.3">
      <c r="F30" s="33" t="s">
        <v>83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58503C180B79408DB858F3B1AC83A4" ma:contentTypeVersion="17" ma:contentTypeDescription="Create a new document." ma:contentTypeScope="" ma:versionID="f9f12f6bd98126fbd29bf543db87fd41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b56b57f6d733b2051704b18ac720fea8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8BF063-4959-4802-87EC-40EC6D0B1CCB}">
  <ds:schemaRefs>
    <ds:schemaRef ds:uri="http://schemas.microsoft.com/office/2006/metadata/properties"/>
    <ds:schemaRef ds:uri="http://schemas.microsoft.com/office/infopath/2007/PartnerControls"/>
    <ds:schemaRef ds:uri="3e229c51-929f-48b9-bf93-5337f11f965b"/>
    <ds:schemaRef ds:uri="4e8ea547-c28b-4d8b-b2f5-628db7de86d9"/>
  </ds:schemaRefs>
</ds:datastoreItem>
</file>

<file path=customXml/itemProps2.xml><?xml version="1.0" encoding="utf-8"?>
<ds:datastoreItem xmlns:ds="http://schemas.openxmlformats.org/officeDocument/2006/customXml" ds:itemID="{536A7F29-87E5-4841-98F5-D6FC7D228A8E}"/>
</file>

<file path=customXml/itemProps3.xml><?xml version="1.0" encoding="utf-8"?>
<ds:datastoreItem xmlns:ds="http://schemas.openxmlformats.org/officeDocument/2006/customXml" ds:itemID="{D7D01D04-353E-4280-BF08-2B2DE6D7EE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1. CÁLCULO CONSOLIDADO</vt:lpstr>
      <vt:lpstr>2.ROL DE PAGO</vt:lpstr>
      <vt:lpstr>Hoja1</vt:lpstr>
      <vt:lpstr>'1. CÁLCULO CONSOLIDADO'!Área_de_impresión</vt:lpstr>
      <vt:lpstr>'2.ROL DE PAGO'!Área_de_impresión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SYLVIA MIREYA RIPALDA PROAÑO</dc:creator>
  <cp:keywords/>
  <dc:description/>
  <cp:lastModifiedBy>Marco Elías Echeverría Arciniegas</cp:lastModifiedBy>
  <cp:revision/>
  <cp:lastPrinted>2025-02-20T20:32:33Z</cp:lastPrinted>
  <dcterms:created xsi:type="dcterms:W3CDTF">2022-12-22T17:07:41Z</dcterms:created>
  <dcterms:modified xsi:type="dcterms:W3CDTF">2025-05-08T17:50:32Z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  <property fmtid="{D5CDD505-2E9C-101B-9397-08002B2CF9AE}" pid="3" name="MediaServiceImageTags">
    <vt:lpwstr/>
  </property>
</Properties>
</file>