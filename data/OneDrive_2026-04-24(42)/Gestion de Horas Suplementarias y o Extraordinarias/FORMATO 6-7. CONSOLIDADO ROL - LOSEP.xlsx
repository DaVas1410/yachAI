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yachaytecheduec.sharepoint.com/sites/calidad/repo_doc/drc_est/proinst/Borradores/Gestión Talento Humano/Pago horas extras/FORMATOS/"/>
    </mc:Choice>
  </mc:AlternateContent>
  <xr:revisionPtr revIDLastSave="0" documentId="14_{29F45BAF-C212-40FA-9FE6-9A76D250FDC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.CÁLCULO CONSOLIDADO" sheetId="7" r:id="rId1"/>
    <sheet name="2.ROL DE PAGO" sheetId="10" r:id="rId2"/>
    <sheet name="DATOS" sheetId="8" state="hidden" r:id="rId3"/>
  </sheets>
  <definedNames>
    <definedName name="_xlnm.Print_Area" localSheetId="0">'1.CÁLCULO CONSOLIDADO'!$A$1:$AG$25</definedName>
    <definedName name="_xlnm.Print_Area" localSheetId="1">'2.ROL DE PAGO'!$A$1:$G$24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4" i="10" l="1"/>
  <c r="B14" i="10"/>
  <c r="C14" i="10"/>
  <c r="D14" i="10"/>
  <c r="E14" i="10"/>
  <c r="A15" i="10"/>
  <c r="B15" i="10"/>
  <c r="C15" i="10"/>
  <c r="D15" i="10"/>
  <c r="E15" i="10"/>
  <c r="A16" i="10"/>
  <c r="B16" i="10"/>
  <c r="C16" i="10"/>
  <c r="D16" i="10"/>
  <c r="E16" i="10"/>
  <c r="A17" i="10"/>
  <c r="B17" i="10"/>
  <c r="C17" i="10"/>
  <c r="D17" i="10"/>
  <c r="E17" i="10"/>
  <c r="E19" i="7"/>
  <c r="G15" i="7"/>
  <c r="J15" i="7" s="1"/>
  <c r="N15" i="7" s="1"/>
  <c r="H15" i="7"/>
  <c r="I15" i="7"/>
  <c r="K15" i="7"/>
  <c r="M15" i="7" s="1"/>
  <c r="L15" i="7"/>
  <c r="P15" i="7"/>
  <c r="Q15" i="7"/>
  <c r="R15" i="7" s="1"/>
  <c r="T15" i="7"/>
  <c r="U15" i="7"/>
  <c r="V15" i="7"/>
  <c r="Y15" i="7"/>
  <c r="Z15" i="7"/>
  <c r="AA15" i="7"/>
  <c r="AC15" i="7"/>
  <c r="AD15" i="7" s="1"/>
  <c r="G16" i="7"/>
  <c r="H16" i="7"/>
  <c r="I16" i="7"/>
  <c r="K16" i="7"/>
  <c r="L16" i="7" s="1"/>
  <c r="P16" i="7"/>
  <c r="Q16" i="7"/>
  <c r="R16" i="7" s="1"/>
  <c r="T16" i="7"/>
  <c r="U16" i="7" s="1"/>
  <c r="Y16" i="7"/>
  <c r="AB16" i="7" s="1"/>
  <c r="Z16" i="7"/>
  <c r="AA16" i="7"/>
  <c r="AC16" i="7"/>
  <c r="AE16" i="7" s="1"/>
  <c r="AF16" i="7" s="1"/>
  <c r="AD16" i="7"/>
  <c r="G17" i="7"/>
  <c r="H17" i="7"/>
  <c r="I17" i="7" s="1"/>
  <c r="K17" i="7"/>
  <c r="L17" i="7"/>
  <c r="M17" i="7"/>
  <c r="P17" i="7"/>
  <c r="Q17" i="7"/>
  <c r="R17" i="7" s="1"/>
  <c r="T17" i="7"/>
  <c r="U17" i="7"/>
  <c r="Y17" i="7"/>
  <c r="Z17" i="7"/>
  <c r="AA17" i="7"/>
  <c r="AC17" i="7"/>
  <c r="AD17" i="7" s="1"/>
  <c r="G18" i="7"/>
  <c r="H18" i="7"/>
  <c r="I18" i="7"/>
  <c r="K18" i="7"/>
  <c r="L18" i="7"/>
  <c r="P18" i="7"/>
  <c r="Q18" i="7"/>
  <c r="R18" i="7"/>
  <c r="S18" i="7"/>
  <c r="T18" i="7"/>
  <c r="U18" i="7" s="1"/>
  <c r="Y18" i="7"/>
  <c r="Z18" i="7"/>
  <c r="AA18" i="7" s="1"/>
  <c r="AC18" i="7"/>
  <c r="AD18" i="7"/>
  <c r="C9" i="10"/>
  <c r="D9" i="10"/>
  <c r="E9" i="10"/>
  <c r="C10" i="10"/>
  <c r="D10" i="10"/>
  <c r="E10" i="10"/>
  <c r="C11" i="10"/>
  <c r="D11" i="10"/>
  <c r="E11" i="10"/>
  <c r="C12" i="10"/>
  <c r="D12" i="10"/>
  <c r="E12" i="10"/>
  <c r="C13" i="10"/>
  <c r="D13" i="10"/>
  <c r="E13" i="10"/>
  <c r="E8" i="10"/>
  <c r="D8" i="10"/>
  <c r="C8" i="10"/>
  <c r="B9" i="10"/>
  <c r="B10" i="10"/>
  <c r="B11" i="10"/>
  <c r="B12" i="10"/>
  <c r="B13" i="10"/>
  <c r="B8" i="10"/>
  <c r="A9" i="10"/>
  <c r="A10" i="10"/>
  <c r="A11" i="10"/>
  <c r="A12" i="10"/>
  <c r="A13" i="10"/>
  <c r="A8" i="10"/>
  <c r="D5" i="10"/>
  <c r="C5" i="10"/>
  <c r="C4" i="10"/>
  <c r="Y10" i="7"/>
  <c r="Z10" i="7"/>
  <c r="AA10" i="7" s="1"/>
  <c r="Y11" i="7"/>
  <c r="Z11" i="7"/>
  <c r="AA11" i="7" s="1"/>
  <c r="Y12" i="7"/>
  <c r="Z12" i="7"/>
  <c r="AA12" i="7" s="1"/>
  <c r="AB12" i="7" s="1"/>
  <c r="Y13" i="7"/>
  <c r="Z13" i="7"/>
  <c r="AA13" i="7" s="1"/>
  <c r="Y14" i="7"/>
  <c r="Z14" i="7"/>
  <c r="AA14" i="7" s="1"/>
  <c r="Z9" i="7"/>
  <c r="Y9" i="7"/>
  <c r="P10" i="7"/>
  <c r="Q10" i="7"/>
  <c r="R10" i="7" s="1"/>
  <c r="P11" i="7"/>
  <c r="Q11" i="7"/>
  <c r="R11" i="7" s="1"/>
  <c r="S11" i="7" s="1"/>
  <c r="P12" i="7"/>
  <c r="Q12" i="7"/>
  <c r="R12" i="7" s="1"/>
  <c r="P13" i="7"/>
  <c r="Q13" i="7"/>
  <c r="R13" i="7" s="1"/>
  <c r="P14" i="7"/>
  <c r="Q14" i="7"/>
  <c r="R14" i="7" s="1"/>
  <c r="Q9" i="7"/>
  <c r="P9" i="7"/>
  <c r="G10" i="7"/>
  <c r="H10" i="7"/>
  <c r="I10" i="7" s="1"/>
  <c r="G11" i="7"/>
  <c r="H11" i="7"/>
  <c r="I11" i="7" s="1"/>
  <c r="G12" i="7"/>
  <c r="H12" i="7"/>
  <c r="I12" i="7" s="1"/>
  <c r="G13" i="7"/>
  <c r="H13" i="7"/>
  <c r="I13" i="7" s="1"/>
  <c r="G14" i="7"/>
  <c r="H14" i="7"/>
  <c r="I14" i="7" s="1"/>
  <c r="H9" i="7"/>
  <c r="I9" i="7" s="1"/>
  <c r="G9" i="7"/>
  <c r="T9" i="7"/>
  <c r="U9" i="7" s="1"/>
  <c r="K9" i="7"/>
  <c r="L9" i="7" s="1"/>
  <c r="K14" i="7"/>
  <c r="L14" i="7" s="1"/>
  <c r="K13" i="7"/>
  <c r="L13" i="7" s="1"/>
  <c r="M13" i="7" s="1"/>
  <c r="K12" i="7"/>
  <c r="L12" i="7" s="1"/>
  <c r="K11" i="7"/>
  <c r="L11" i="7" s="1"/>
  <c r="K10" i="7"/>
  <c r="L10" i="7" s="1"/>
  <c r="AC14" i="7"/>
  <c r="AC12" i="7"/>
  <c r="AD12" i="7" s="1"/>
  <c r="AC11" i="7"/>
  <c r="AC10" i="7"/>
  <c r="AC9" i="7"/>
  <c r="AC13" i="7"/>
  <c r="AD13" i="7" s="1"/>
  <c r="T13" i="7"/>
  <c r="U13" i="7" s="1"/>
  <c r="V13" i="7" s="1"/>
  <c r="T14" i="7"/>
  <c r="U14" i="7" s="1"/>
  <c r="T10" i="7"/>
  <c r="U10" i="7" s="1"/>
  <c r="T11" i="7"/>
  <c r="U11" i="7" s="1"/>
  <c r="T12" i="7"/>
  <c r="U12" i="7" s="1"/>
  <c r="J13" i="7" l="1"/>
  <c r="AB17" i="7"/>
  <c r="M16" i="7"/>
  <c r="S15" i="7"/>
  <c r="W15" i="7" s="1"/>
  <c r="M18" i="7"/>
  <c r="S17" i="7"/>
  <c r="J18" i="7"/>
  <c r="N18" i="7" s="1"/>
  <c r="AE17" i="7"/>
  <c r="V16" i="7"/>
  <c r="AE18" i="7"/>
  <c r="AF18" i="7" s="1"/>
  <c r="AB18" i="7"/>
  <c r="AB15" i="7"/>
  <c r="S16" i="7"/>
  <c r="V17" i="7"/>
  <c r="J14" i="7"/>
  <c r="AB14" i="7"/>
  <c r="J16" i="7"/>
  <c r="N16" i="7" s="1"/>
  <c r="AE15" i="7"/>
  <c r="W16" i="7"/>
  <c r="J10" i="7"/>
  <c r="AG16" i="7"/>
  <c r="F15" i="10" s="1"/>
  <c r="J17" i="7"/>
  <c r="N17" i="7" s="1"/>
  <c r="V18" i="7"/>
  <c r="W18" i="7" s="1"/>
  <c r="S12" i="7"/>
  <c r="J12" i="7"/>
  <c r="S13" i="7"/>
  <c r="W13" i="7" s="1"/>
  <c r="S14" i="7"/>
  <c r="J11" i="7"/>
  <c r="AB13" i="7"/>
  <c r="AB10" i="7"/>
  <c r="AB11" i="7"/>
  <c r="S10" i="7"/>
  <c r="J9" i="7"/>
  <c r="N13" i="7"/>
  <c r="AE13" i="7"/>
  <c r="V12" i="7"/>
  <c r="M14" i="7"/>
  <c r="N14" i="7" s="1"/>
  <c r="M12" i="7"/>
  <c r="M11" i="7"/>
  <c r="M10" i="7"/>
  <c r="M9" i="7"/>
  <c r="AD14" i="7"/>
  <c r="AE14" i="7" s="1"/>
  <c r="AF14" i="7" s="1"/>
  <c r="AE12" i="7"/>
  <c r="AF12" i="7" s="1"/>
  <c r="AD11" i="7"/>
  <c r="AE11" i="7" s="1"/>
  <c r="AD10" i="7"/>
  <c r="AE10" i="7" s="1"/>
  <c r="AD9" i="7"/>
  <c r="AE9" i="7" s="1"/>
  <c r="V10" i="7"/>
  <c r="V11" i="7"/>
  <c r="W11" i="7" s="1"/>
  <c r="V14" i="7"/>
  <c r="AG18" i="7" l="1"/>
  <c r="F17" i="10" s="1"/>
  <c r="AF15" i="7"/>
  <c r="AG15" i="7" s="1"/>
  <c r="F14" i="10" s="1"/>
  <c r="W17" i="7"/>
  <c r="AF17" i="7"/>
  <c r="AG17" i="7"/>
  <c r="F16" i="10" s="1"/>
  <c r="N10" i="7"/>
  <c r="N11" i="7"/>
  <c r="N12" i="7"/>
  <c r="W12" i="7"/>
  <c r="W14" i="7"/>
  <c r="AG14" i="7" s="1"/>
  <c r="F13" i="10" s="1"/>
  <c r="AF11" i="7"/>
  <c r="AG11" i="7" s="1"/>
  <c r="F10" i="10" s="1"/>
  <c r="AF10" i="7"/>
  <c r="AF13" i="7"/>
  <c r="AG13" i="7" s="1"/>
  <c r="F12" i="10" s="1"/>
  <c r="W10" i="7"/>
  <c r="N9" i="7"/>
  <c r="AA9" i="7"/>
  <c r="AB9" i="7" s="1"/>
  <c r="AF9" i="7" s="1"/>
  <c r="R9" i="7"/>
  <c r="S9" i="7" s="1"/>
  <c r="N19" i="7" l="1"/>
  <c r="AG12" i="7"/>
  <c r="F11" i="10" s="1"/>
  <c r="AG10" i="7"/>
  <c r="F9" i="10" s="1"/>
  <c r="AF19" i="7"/>
  <c r="V9" i="7"/>
  <c r="AG19" i="7" l="1"/>
  <c r="W9" i="7"/>
  <c r="AG9" i="7" s="1"/>
  <c r="F8" i="10" s="1"/>
  <c r="F18" i="10" s="1"/>
  <c r="W19" i="7" l="1"/>
</calcChain>
</file>

<file path=xl/sharedStrings.xml><?xml version="1.0" encoding="utf-8"?>
<sst xmlns="http://schemas.openxmlformats.org/spreadsheetml/2006/main" count="144" uniqueCount="86">
  <si>
    <t>UNIVERSIDAD DE INVESTIGACIÓN DE TECNOLOGÍA EXPERIMENTAL YACHAY</t>
  </si>
  <si>
    <t>HORAS SUPLEMENTARIAS</t>
  </si>
  <si>
    <t xml:space="preserve">No. </t>
  </si>
  <si>
    <t>Cédula</t>
  </si>
  <si>
    <t>RMU</t>
  </si>
  <si>
    <t>Total en Horas</t>
  </si>
  <si>
    <t>RMU/240</t>
  </si>
  <si>
    <t>Valor a Pagar</t>
  </si>
  <si>
    <t>100% adicional</t>
  </si>
  <si>
    <t>TOTAL A PAGAR</t>
  </si>
  <si>
    <t>TOTAL HORAS SUPLEMENTARIAS</t>
  </si>
  <si>
    <t>Elaborado por:</t>
  </si>
  <si>
    <t>Revisado por:</t>
  </si>
  <si>
    <t>Aprobado por:</t>
  </si>
  <si>
    <t>DIRECTOR GENERAL DE TALENTO HUMANO</t>
  </si>
  <si>
    <t>JULIO</t>
  </si>
  <si>
    <t>SEPTIEMBRE</t>
  </si>
  <si>
    <t>OCTUBRE</t>
  </si>
  <si>
    <t>NOVIEMBRE</t>
  </si>
  <si>
    <t xml:space="preserve"> </t>
  </si>
  <si>
    <t>Cargo</t>
  </si>
  <si>
    <t>25% Adicional</t>
  </si>
  <si>
    <t>60% adicional</t>
  </si>
  <si>
    <t>HORAS EXTRAORDINARIAS 60%</t>
  </si>
  <si>
    <t>HORAS EXTRAORDINARIAS 100%</t>
  </si>
  <si>
    <t>TOTAL HORAS EXTRAORDINARIAS 60%</t>
  </si>
  <si>
    <t>TOTAL HORAS EXTRAORDINARIAS 100%</t>
  </si>
  <si>
    <t>ANALISTA DE TALENTO HUMANO 1</t>
  </si>
  <si>
    <t>JUNIO</t>
  </si>
  <si>
    <t>PERSONAL RÉGIMEN LOSEP</t>
  </si>
  <si>
    <t>ENERO</t>
  </si>
  <si>
    <t>FEBRERO</t>
  </si>
  <si>
    <t>MARZO</t>
  </si>
  <si>
    <t>ABRIL</t>
  </si>
  <si>
    <t>MAYO</t>
  </si>
  <si>
    <t>AGOSTO</t>
  </si>
  <si>
    <t>DICIEMBRE</t>
  </si>
  <si>
    <t>Apellidos y Nombres</t>
  </si>
  <si>
    <t>No. Horas</t>
  </si>
  <si>
    <t>No. Minutos</t>
  </si>
  <si>
    <t>Valor hora</t>
  </si>
  <si>
    <t>Nombre del Analista de TH</t>
  </si>
  <si>
    <t>Nombre del Director de TH</t>
  </si>
  <si>
    <t>Valor hora minuto</t>
  </si>
  <si>
    <t>Nº</t>
  </si>
  <si>
    <t>CÉDULA</t>
  </si>
  <si>
    <t>APELLIDOS Y NOMBRES</t>
  </si>
  <si>
    <t>CARGO OCUPACIONAL</t>
  </si>
  <si>
    <t>RMU ACTUAL</t>
  </si>
  <si>
    <t>TOTAL</t>
  </si>
  <si>
    <t>DIRECTOR/A GENERAL DE TALENTO HUMANO</t>
  </si>
  <si>
    <t>COORDINACIÓN GENERAL ADMINISTRATIVA FINANCIERA</t>
  </si>
  <si>
    <t>DIRECCIÓN DE RELACIONES INTERNACIONALES</t>
  </si>
  <si>
    <t>DIRECCIÓN DE ACREDITACION Y ASEGURAMIENTO DE LA CALIDAD</t>
  </si>
  <si>
    <t>DIRECCIÓN DE BIBLIOTECAS</t>
  </si>
  <si>
    <t>DIRECCIÓN DE COMUNICACIÓN Y PROMOCIÓN</t>
  </si>
  <si>
    <t>DIRECCIÓN DE IDIOMAS</t>
  </si>
  <si>
    <t>DIRECCIÓN DE VINCULACIÓN CON LA SOCIEDAD</t>
  </si>
  <si>
    <t>DIRECCIÓN GENERAL ADMINISTRATIVA</t>
  </si>
  <si>
    <t>DIRECCIÓN GENERAL DE BIENESTAR UNIVERSITARIO</t>
  </si>
  <si>
    <t>DIRECCIÓN GENERAL DE INVESTIGACIÓN E INNOVACIÓN</t>
  </si>
  <si>
    <t>DIRECCIÓN GENERAL DE PLANIFICACIÓN Y PROCESOS</t>
  </si>
  <si>
    <t>DIRECCIÓN GENERAL DE POSGRADOS</t>
  </si>
  <si>
    <t>DIRECCIÓN GENERAL DE SERVICIOS ACADÉMICOS</t>
  </si>
  <si>
    <t>DIRECCIÓN GENERAL DE TALENTO HUMANO</t>
  </si>
  <si>
    <t>DIRECCIÓN GENERAL DE TECNOLOGÍAS DE LA INFORMACIÓN Y COMUNICACIONES</t>
  </si>
  <si>
    <t>DIRECCIÓN GENERAL FINANCIERA</t>
  </si>
  <si>
    <t>DIRECCIÓN GENERAL JURÍDICA</t>
  </si>
  <si>
    <t>ESCUELA DE CIENCIAS AGROPECUARIAS Y AGROINDUSTRIALES</t>
  </si>
  <si>
    <t>ESCUELA DE CIENCIAS BIOLÓGICAS E INGENIERÍA</t>
  </si>
  <si>
    <t>ESCUELA DE CIENCIAS DE LA TIERRA, ENERGÍA Y AMBIENTE</t>
  </si>
  <si>
    <t>ESCUELA DE CIENCIAS FÍSICAS Y NANOTECNOLOGÍA</t>
  </si>
  <si>
    <t>ESCUELA DE CIENCIAS MATEMÁTICAS Y COMPUTACIONALES</t>
  </si>
  <si>
    <t>ESCUELA DE CIENCIAS QUÍMICAS E INGENIERÍA</t>
  </si>
  <si>
    <t>RECTORADO</t>
  </si>
  <si>
    <t>SECRETARIA GENERAL</t>
  </si>
  <si>
    <t>VICERRECTORADO ACADÉMICO</t>
  </si>
  <si>
    <t>LÍQUIDO A PAGAR</t>
  </si>
  <si>
    <t>-</t>
  </si>
  <si>
    <t>VICERRECTORADO DE INVESTIGACIÓN</t>
  </si>
  <si>
    <t>Horas Extraordinarias
(hh:mm)</t>
  </si>
  <si>
    <t>Horas Suplementarias
(hh:mm)</t>
  </si>
  <si>
    <r>
      <t xml:space="preserve">Código: </t>
    </r>
    <r>
      <rPr>
        <sz val="9"/>
        <rFont val="Calibri"/>
        <family val="2"/>
        <scheme val="minor"/>
      </rPr>
      <t>GTH-DGTH-PRD-003-FO-006</t>
    </r>
  </si>
  <si>
    <r>
      <t xml:space="preserve">Código: </t>
    </r>
    <r>
      <rPr>
        <sz val="8"/>
        <color theme="1"/>
        <rFont val="Calibri"/>
        <family val="2"/>
        <scheme val="minor"/>
      </rPr>
      <t>GTH-DGTH-PRD-003-FO-007</t>
    </r>
  </si>
  <si>
    <t>CÁLCULO CONSOLIDADO PARA EL PAGO DE HORAS SUPLEMENTARIAS Y EXTRAORDINARIAS</t>
  </si>
  <si>
    <t>ROL DE PAGO DE HORAS SUPLEMENTARIAS Y EXTRAORDINARIAS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</si>
</sst>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h:mm;@"/>
  </numFmts>
  <fonts count="18" x14ac:knownFonts="1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22628F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117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4" fontId="1" fillId="2" borderId="0" xfId="0" applyNumberFormat="1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17" fontId="2" fillId="0" borderId="0" xfId="0" applyNumberFormat="1" applyFont="1"/>
    <xf numFmtId="0" fontId="1" fillId="2" borderId="4" xfId="0" applyFont="1" applyFill="1" applyBorder="1" applyAlignment="1">
      <alignment horizontal="center" vertical="center"/>
    </xf>
    <xf numFmtId="20" fontId="1" fillId="0" borderId="0" xfId="0" applyNumberFormat="1" applyFont="1"/>
    <xf numFmtId="46" fontId="1" fillId="2" borderId="0" xfId="0" applyNumberFormat="1" applyFont="1" applyFill="1"/>
    <xf numFmtId="0" fontId="5" fillId="0" borderId="0" xfId="0" applyFont="1" applyAlignment="1">
      <alignment horizontal="center"/>
    </xf>
    <xf numFmtId="0" fontId="5" fillId="0" borderId="0" xfId="0" applyFont="1"/>
    <xf numFmtId="0" fontId="6" fillId="2" borderId="0" xfId="0" applyFont="1" applyFill="1" applyAlignment="1">
      <alignment horizontal="left" vertical="center"/>
    </xf>
    <xf numFmtId="4" fontId="5" fillId="0" borderId="0" xfId="0" applyNumberFormat="1" applyFont="1"/>
    <xf numFmtId="0" fontId="4" fillId="0" borderId="0" xfId="0" applyFont="1"/>
    <xf numFmtId="4" fontId="2" fillId="0" borderId="5" xfId="0" applyNumberFormat="1" applyFont="1" applyBorder="1"/>
    <xf numFmtId="0" fontId="0" fillId="2" borderId="0" xfId="0" applyFill="1"/>
    <xf numFmtId="0" fontId="11" fillId="2" borderId="0" xfId="0" applyFont="1" applyFill="1"/>
    <xf numFmtId="0" fontId="12" fillId="2" borderId="0" xfId="0" applyFont="1" applyFill="1"/>
    <xf numFmtId="0" fontId="11" fillId="2" borderId="0" xfId="0" applyFont="1" applyFill="1" applyAlignment="1">
      <alignment vertical="center" wrapText="1"/>
    </xf>
    <xf numFmtId="0" fontId="13" fillId="2" borderId="0" xfId="0" applyFont="1" applyFill="1" applyAlignment="1">
      <alignment vertical="center" wrapText="1"/>
    </xf>
    <xf numFmtId="0" fontId="14" fillId="2" borderId="0" xfId="0" applyFont="1" applyFill="1"/>
    <xf numFmtId="0" fontId="11" fillId="2" borderId="0" xfId="0" applyFont="1" applyFill="1" applyAlignment="1">
      <alignment horizontal="right"/>
    </xf>
    <xf numFmtId="0" fontId="15" fillId="0" borderId="0" xfId="0" applyFont="1" applyAlignment="1">
      <alignment vertical="center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vertical="center" wrapText="1"/>
    </xf>
    <xf numFmtId="49" fontId="10" fillId="2" borderId="0" xfId="0" applyNumberFormat="1" applyFont="1" applyFill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0" fillId="2" borderId="24" xfId="0" applyFill="1" applyBorder="1" applyAlignment="1">
      <alignment vertical="center"/>
    </xf>
    <xf numFmtId="0" fontId="0" fillId="2" borderId="22" xfId="0" applyFill="1" applyBorder="1" applyAlignment="1">
      <alignment vertical="center"/>
    </xf>
    <xf numFmtId="0" fontId="0" fillId="2" borderId="25" xfId="0" applyFill="1" applyBorder="1" applyAlignment="1">
      <alignment vertical="center"/>
    </xf>
    <xf numFmtId="0" fontId="0" fillId="2" borderId="26" xfId="0" applyFill="1" applyBorder="1" applyAlignment="1">
      <alignment vertical="center"/>
    </xf>
    <xf numFmtId="0" fontId="0" fillId="2" borderId="23" xfId="0" applyFill="1" applyBorder="1" applyAlignment="1">
      <alignment vertical="center"/>
    </xf>
    <xf numFmtId="164" fontId="9" fillId="5" borderId="4" xfId="1" applyFont="1" applyFill="1" applyBorder="1" applyAlignment="1">
      <alignment vertical="center" wrapText="1"/>
    </xf>
    <xf numFmtId="0" fontId="1" fillId="2" borderId="0" xfId="0" applyFont="1" applyFill="1" applyProtection="1">
      <protection locked="0"/>
    </xf>
    <xf numFmtId="0" fontId="2" fillId="2" borderId="0" xfId="0" applyFont="1" applyFill="1" applyProtection="1">
      <protection locked="0"/>
    </xf>
    <xf numFmtId="49" fontId="8" fillId="4" borderId="4" xfId="0" applyNumberFormat="1" applyFont="1" applyFill="1" applyBorder="1" applyAlignment="1" applyProtection="1">
      <alignment horizontal="center" vertical="center" wrapText="1"/>
      <protection hidden="1"/>
    </xf>
    <xf numFmtId="0" fontId="8" fillId="4" borderId="4" xfId="0" applyFont="1" applyFill="1" applyBorder="1" applyAlignment="1" applyProtection="1">
      <alignment horizontal="center" vertical="center" wrapText="1"/>
      <protection hidden="1"/>
    </xf>
    <xf numFmtId="164" fontId="11" fillId="4" borderId="4" xfId="1" applyFont="1" applyFill="1" applyBorder="1" applyAlignment="1" applyProtection="1">
      <alignment vertical="center" wrapText="1"/>
      <protection hidden="1"/>
    </xf>
    <xf numFmtId="1" fontId="1" fillId="4" borderId="4" xfId="0" applyNumberFormat="1" applyFont="1" applyFill="1" applyBorder="1" applyAlignment="1" applyProtection="1">
      <alignment horizontal="center" vertical="center"/>
      <protection hidden="1"/>
    </xf>
    <xf numFmtId="4" fontId="1" fillId="4" borderId="4" xfId="0" applyNumberFormat="1" applyFont="1" applyFill="1" applyBorder="1" applyAlignment="1" applyProtection="1">
      <alignment horizontal="center" vertical="center"/>
      <protection hidden="1"/>
    </xf>
    <xf numFmtId="3" fontId="1" fillId="4" borderId="4" xfId="0" applyNumberFormat="1" applyFont="1" applyFill="1" applyBorder="1" applyAlignment="1" applyProtection="1">
      <alignment horizontal="center" vertical="center"/>
      <protection hidden="1"/>
    </xf>
    <xf numFmtId="0" fontId="2" fillId="2" borderId="0" xfId="0" applyFont="1" applyFill="1" applyAlignment="1">
      <alignment horizontal="center" vertical="center"/>
    </xf>
    <xf numFmtId="46" fontId="3" fillId="6" borderId="9" xfId="0" applyNumberFormat="1" applyFont="1" applyFill="1" applyBorder="1" applyAlignment="1">
      <alignment horizontal="center" vertical="center" wrapText="1"/>
    </xf>
    <xf numFmtId="46" fontId="3" fillId="6" borderId="12" xfId="0" applyNumberFormat="1" applyFont="1" applyFill="1" applyBorder="1" applyAlignment="1">
      <alignment horizontal="center" vertical="center" wrapText="1"/>
    </xf>
    <xf numFmtId="46" fontId="3" fillId="6" borderId="10" xfId="0" applyNumberFormat="1" applyFont="1" applyFill="1" applyBorder="1" applyAlignment="1">
      <alignment horizontal="center" vertical="center" wrapText="1"/>
    </xf>
    <xf numFmtId="46" fontId="3" fillId="6" borderId="11" xfId="0" applyNumberFormat="1" applyFont="1" applyFill="1" applyBorder="1" applyAlignment="1">
      <alignment horizontal="center" vertical="center" wrapText="1"/>
    </xf>
    <xf numFmtId="165" fontId="3" fillId="6" borderId="10" xfId="0" applyNumberFormat="1" applyFont="1" applyFill="1" applyBorder="1" applyAlignment="1">
      <alignment horizontal="center" vertical="center" wrapText="1"/>
    </xf>
    <xf numFmtId="4" fontId="3" fillId="6" borderId="13" xfId="0" applyNumberFormat="1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46" fontId="1" fillId="2" borderId="0" xfId="0" applyNumberFormat="1" applyFont="1" applyFill="1" applyAlignment="1">
      <alignment horizontal="center"/>
    </xf>
    <xf numFmtId="4" fontId="1" fillId="2" borderId="28" xfId="0" applyNumberFormat="1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3" xfId="0" applyFont="1" applyBorder="1"/>
    <xf numFmtId="0" fontId="4" fillId="2" borderId="23" xfId="0" applyFont="1" applyFill="1" applyBorder="1" applyProtection="1">
      <protection locked="0"/>
    </xf>
    <xf numFmtId="0" fontId="4" fillId="2" borderId="23" xfId="0" applyFont="1" applyFill="1" applyBorder="1"/>
    <xf numFmtId="4" fontId="4" fillId="0" borderId="17" xfId="0" applyNumberFormat="1" applyFont="1" applyBorder="1"/>
    <xf numFmtId="4" fontId="1" fillId="4" borderId="7" xfId="0" applyNumberFormat="1" applyFont="1" applyFill="1" applyBorder="1" applyAlignment="1">
      <alignment horizontal="center" vertical="center"/>
    </xf>
    <xf numFmtId="4" fontId="2" fillId="0" borderId="17" xfId="0" applyNumberFormat="1" applyFont="1" applyBorder="1"/>
    <xf numFmtId="165" fontId="1" fillId="3" borderId="6" xfId="0" applyNumberFormat="1" applyFont="1" applyFill="1" applyBorder="1" applyAlignment="1" applyProtection="1">
      <alignment horizontal="center" vertical="center"/>
      <protection locked="0"/>
    </xf>
    <xf numFmtId="49" fontId="8" fillId="0" borderId="4" xfId="0" applyNumberFormat="1" applyFont="1" applyBorder="1" applyAlignment="1" applyProtection="1">
      <alignment horizontal="center" vertical="center" wrapText="1"/>
      <protection locked="0"/>
    </xf>
    <xf numFmtId="0" fontId="8" fillId="0" borderId="4" xfId="0" applyFont="1" applyBorder="1" applyAlignment="1" applyProtection="1">
      <alignment horizontal="center" vertical="center" wrapText="1"/>
      <protection locked="0"/>
    </xf>
    <xf numFmtId="4" fontId="2" fillId="0" borderId="15" xfId="0" applyNumberFormat="1" applyFont="1" applyBorder="1"/>
    <xf numFmtId="4" fontId="2" fillId="2" borderId="8" xfId="0" applyNumberFormat="1" applyFont="1" applyFill="1" applyBorder="1" applyAlignment="1">
      <alignment horizontal="center" vertical="center"/>
    </xf>
    <xf numFmtId="4" fontId="2" fillId="0" borderId="15" xfId="0" applyNumberFormat="1" applyFont="1" applyBorder="1" applyAlignment="1">
      <alignment horizontal="center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4" fontId="1" fillId="0" borderId="0" xfId="0" applyNumberFormat="1" applyFont="1" applyProtection="1">
      <protection locked="0"/>
    </xf>
    <xf numFmtId="20" fontId="1" fillId="0" borderId="0" xfId="0" applyNumberFormat="1" applyFont="1" applyProtection="1">
      <protection locked="0"/>
    </xf>
    <xf numFmtId="0" fontId="2" fillId="2" borderId="23" xfId="0" applyFont="1" applyFill="1" applyBorder="1" applyAlignment="1" applyProtection="1">
      <alignment horizontal="right" vertical="center" wrapText="1"/>
      <protection hidden="1"/>
    </xf>
    <xf numFmtId="0" fontId="2" fillId="2" borderId="23" xfId="0" applyFont="1" applyFill="1" applyBorder="1" applyAlignment="1" applyProtection="1">
      <alignment horizontal="left" vertical="center" wrapText="1"/>
      <protection hidden="1"/>
    </xf>
    <xf numFmtId="0" fontId="3" fillId="6" borderId="4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 applyProtection="1">
      <alignment horizontal="center" vertical="center" wrapText="1"/>
      <protection hidden="1"/>
    </xf>
    <xf numFmtId="0" fontId="0" fillId="2" borderId="0" xfId="0" applyFill="1" applyProtection="1">
      <protection locked="0"/>
    </xf>
    <xf numFmtId="0" fontId="14" fillId="2" borderId="0" xfId="0" applyFont="1" applyFill="1" applyProtection="1">
      <protection locked="0"/>
    </xf>
    <xf numFmtId="0" fontId="17" fillId="2" borderId="0" xfId="0" applyFont="1" applyFill="1" applyProtection="1">
      <protection locked="0"/>
    </xf>
    <xf numFmtId="0" fontId="10" fillId="2" borderId="0" xfId="0" applyFont="1" applyFill="1" applyProtection="1">
      <protection locked="0"/>
    </xf>
    <xf numFmtId="0" fontId="16" fillId="2" borderId="0" xfId="0" applyFont="1" applyFill="1" applyProtection="1">
      <protection locked="0"/>
    </xf>
    <xf numFmtId="0" fontId="2" fillId="2" borderId="0" xfId="0" applyFont="1" applyFill="1" applyAlignment="1">
      <alignment vertical="center"/>
    </xf>
    <xf numFmtId="0" fontId="2" fillId="2" borderId="28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49" fontId="9" fillId="2" borderId="0" xfId="0" applyNumberFormat="1" applyFont="1" applyFill="1" applyAlignment="1" applyProtection="1">
      <alignment vertical="center" wrapText="1"/>
      <protection locked="0"/>
    </xf>
    <xf numFmtId="0" fontId="0" fillId="2" borderId="28" xfId="0" applyFill="1" applyBorder="1" applyProtection="1">
      <protection locked="0"/>
    </xf>
    <xf numFmtId="0" fontId="2" fillId="2" borderId="22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46" fontId="2" fillId="7" borderId="1" xfId="0" applyNumberFormat="1" applyFont="1" applyFill="1" applyBorder="1" applyAlignment="1">
      <alignment horizontal="center"/>
    </xf>
    <xf numFmtId="46" fontId="2" fillId="7" borderId="2" xfId="0" applyNumberFormat="1" applyFont="1" applyFill="1" applyBorder="1" applyAlignment="1">
      <alignment horizontal="center"/>
    </xf>
    <xf numFmtId="46" fontId="2" fillId="7" borderId="3" xfId="0" applyNumberFormat="1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3" fillId="6" borderId="23" xfId="0" applyFont="1" applyFill="1" applyBorder="1" applyAlignment="1" applyProtection="1">
      <alignment horizontal="center"/>
      <protection locked="0"/>
    </xf>
    <xf numFmtId="0" fontId="3" fillId="6" borderId="23" xfId="0" applyFont="1" applyFill="1" applyBorder="1" applyAlignment="1" applyProtection="1">
      <alignment horizontal="right"/>
      <protection locked="0"/>
    </xf>
    <xf numFmtId="0" fontId="3" fillId="6" borderId="0" xfId="0" applyFont="1" applyFill="1" applyAlignment="1" applyProtection="1">
      <alignment horizontal="center" vertical="center"/>
      <protection locked="0"/>
    </xf>
    <xf numFmtId="0" fontId="9" fillId="2" borderId="5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0" fillId="2" borderId="28" xfId="0" applyFill="1" applyBorder="1" applyAlignment="1" applyProtection="1">
      <alignment horizontal="left"/>
      <protection locked="0"/>
    </xf>
    <xf numFmtId="0" fontId="0" fillId="2" borderId="17" xfId="0" applyFill="1" applyBorder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center" vertical="center" wrapText="1"/>
      <protection hidden="1"/>
    </xf>
    <xf numFmtId="0" fontId="9" fillId="2" borderId="0" xfId="0" applyFont="1" applyFill="1" applyAlignment="1" applyProtection="1">
      <alignment horizontal="left" vertical="center" wrapText="1"/>
      <protection locked="0"/>
    </xf>
    <xf numFmtId="0" fontId="9" fillId="2" borderId="23" xfId="0" applyFont="1" applyFill="1" applyBorder="1" applyAlignment="1" applyProtection="1">
      <alignment horizontal="left" vertical="center" wrapText="1"/>
      <protection locked="0"/>
    </xf>
    <xf numFmtId="0" fontId="9" fillId="2" borderId="22" xfId="0" applyFont="1" applyFill="1" applyBorder="1" applyAlignment="1" applyProtection="1">
      <alignment horizontal="right" vertical="center" wrapText="1"/>
      <protection locked="0"/>
    </xf>
    <xf numFmtId="0" fontId="9" fillId="2" borderId="27" xfId="0" applyFont="1" applyFill="1" applyBorder="1" applyAlignment="1" applyProtection="1">
      <alignment horizontal="right" vertical="center" wrapText="1"/>
      <protection locked="0"/>
    </xf>
  </cellXfs>
  <cellStyles count="2">
    <cellStyle name="Moneda 2" xfId="1" xr:uid="{ED07E3E1-5F24-4C14-852B-647FFB470733}"/>
    <cellStyle name="Normal" xfId="0" builtinId="0"/>
  </cellStyles>
  <dxfs count="0"/>
  <tableStyles count="0" defaultTableStyle="TableStyleMedium2" defaultPivotStyle="PivotStyleLight16"/>
  <colors>
    <mruColors>
      <color rgb="FF2262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3</xdr:col>
      <xdr:colOff>947379</xdr:colOff>
      <xdr:row>4</xdr:row>
      <xdr:rowOff>161925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B01F78A-1B5B-4D1B-A39F-83CFBC47C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3452454" cy="857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960120</xdr:colOff>
      <xdr:row>3</xdr:row>
      <xdr:rowOff>31372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5CEE56-8E40-417A-A732-01788A92A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07920" cy="6028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I42"/>
  <sheetViews>
    <sheetView showGridLines="0" zoomScaleNormal="100" workbookViewId="0">
      <selection activeCell="D3" sqref="D3:AG3"/>
    </sheetView>
  </sheetViews>
  <sheetFormatPr baseColWidth="10" defaultColWidth="11.44140625" defaultRowHeight="12" x14ac:dyDescent="0.25"/>
  <cols>
    <col min="1" max="1" width="4.109375" style="1" bestFit="1" customWidth="1"/>
    <col min="2" max="2" width="12" style="1" bestFit="1" customWidth="1"/>
    <col min="3" max="3" width="20.44140625" style="1" customWidth="1"/>
    <col min="4" max="4" width="17.77734375" style="1" customWidth="1"/>
    <col min="5" max="5" width="10.21875" style="1" customWidth="1"/>
    <col min="6" max="6" width="12.109375" style="1" customWidth="1"/>
    <col min="7" max="7" width="9.33203125" style="1" customWidth="1"/>
    <col min="8" max="8" width="8.44140625" style="1" customWidth="1"/>
    <col min="9" max="14" width="7.77734375" style="1" customWidth="1"/>
    <col min="15" max="15" width="11.33203125" style="1" customWidth="1"/>
    <col min="16" max="23" width="7.77734375" style="1" customWidth="1"/>
    <col min="24" max="24" width="11.21875" style="1" customWidth="1"/>
    <col min="25" max="32" width="7.77734375" style="1" customWidth="1"/>
    <col min="33" max="33" width="9.6640625" style="1" customWidth="1"/>
    <col min="34" max="16384" width="11.44140625" style="1"/>
  </cols>
  <sheetData>
    <row r="1" spans="1:35" s="2" customFormat="1" ht="14.4" customHeight="1" x14ac:dyDescent="0.25">
      <c r="A1" s="53" t="s">
        <v>19</v>
      </c>
      <c r="B1" s="54"/>
      <c r="C1" s="54"/>
      <c r="D1" s="92" t="s">
        <v>0</v>
      </c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 t="s">
        <v>82</v>
      </c>
      <c r="AF1" s="92"/>
      <c r="AG1" s="93"/>
    </row>
    <row r="2" spans="1:35" s="2" customFormat="1" ht="14.4" customHeight="1" x14ac:dyDescent="0.25">
      <c r="A2" s="55"/>
      <c r="D2" s="94" t="s">
        <v>84</v>
      </c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87"/>
      <c r="AF2" s="87"/>
      <c r="AG2" s="88"/>
    </row>
    <row r="3" spans="1:35" s="2" customFormat="1" ht="14.4" customHeight="1" x14ac:dyDescent="0.25">
      <c r="A3" s="58"/>
      <c r="B3" s="59"/>
      <c r="D3" s="94" t="s">
        <v>29</v>
      </c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5"/>
    </row>
    <row r="4" spans="1:35" s="2" customFormat="1" ht="14.4" customHeight="1" x14ac:dyDescent="0.25">
      <c r="A4" s="58"/>
      <c r="B4" s="59"/>
      <c r="C4" s="4"/>
      <c r="D4" s="46"/>
      <c r="O4" s="106" t="s">
        <v>61</v>
      </c>
      <c r="P4" s="106"/>
      <c r="Q4" s="106"/>
      <c r="R4" s="106"/>
      <c r="S4" s="106"/>
      <c r="T4" s="10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7"/>
    </row>
    <row r="5" spans="1:35" s="18" customFormat="1" ht="14.4" customHeight="1" thickBot="1" x14ac:dyDescent="0.3">
      <c r="A5" s="60"/>
      <c r="B5" s="61"/>
      <c r="C5" s="62"/>
      <c r="D5" s="62"/>
      <c r="E5" s="62"/>
      <c r="F5" s="62"/>
      <c r="G5" s="62"/>
      <c r="H5" s="62"/>
      <c r="I5" s="63"/>
      <c r="J5" s="62"/>
      <c r="K5" s="62"/>
      <c r="L5" s="62"/>
      <c r="M5" s="62"/>
      <c r="N5" s="63"/>
      <c r="O5" s="64"/>
      <c r="P5" s="105" t="s">
        <v>15</v>
      </c>
      <c r="Q5" s="105"/>
      <c r="R5" s="104">
        <v>2029</v>
      </c>
      <c r="S5" s="104"/>
      <c r="T5" s="64"/>
      <c r="U5" s="64"/>
      <c r="V5" s="64"/>
      <c r="W5" s="64"/>
      <c r="X5" s="64"/>
      <c r="Y5" s="64"/>
      <c r="Z5" s="64"/>
      <c r="AA5" s="64"/>
      <c r="AB5" s="62"/>
      <c r="AC5" s="62"/>
      <c r="AD5" s="62"/>
      <c r="AE5" s="62"/>
      <c r="AF5" s="62"/>
      <c r="AG5" s="65"/>
    </row>
    <row r="6" spans="1:35" s="15" customFormat="1" ht="12.6" thickBot="1" x14ac:dyDescent="0.3">
      <c r="A6" s="14"/>
      <c r="B6" s="14"/>
      <c r="D6" s="16"/>
      <c r="AG6" s="17"/>
    </row>
    <row r="7" spans="1:35" s="2" customFormat="1" x14ac:dyDescent="0.25">
      <c r="A7" s="5"/>
      <c r="B7" s="5"/>
      <c r="C7" s="6"/>
      <c r="D7" s="10"/>
      <c r="E7" s="3"/>
      <c r="F7" s="96" t="s">
        <v>1</v>
      </c>
      <c r="G7" s="97"/>
      <c r="H7" s="97"/>
      <c r="I7" s="97"/>
      <c r="J7" s="97"/>
      <c r="K7" s="97"/>
      <c r="L7" s="97"/>
      <c r="M7" s="97"/>
      <c r="N7" s="98"/>
      <c r="O7" s="96" t="s">
        <v>23</v>
      </c>
      <c r="P7" s="97"/>
      <c r="Q7" s="97"/>
      <c r="R7" s="97"/>
      <c r="S7" s="97"/>
      <c r="T7" s="97"/>
      <c r="U7" s="97"/>
      <c r="V7" s="97"/>
      <c r="W7" s="98"/>
      <c r="X7" s="96" t="s">
        <v>24</v>
      </c>
      <c r="Y7" s="97"/>
      <c r="Z7" s="97"/>
      <c r="AA7" s="97"/>
      <c r="AB7" s="97"/>
      <c r="AC7" s="97"/>
      <c r="AD7" s="97"/>
      <c r="AE7" s="97"/>
      <c r="AF7" s="98"/>
      <c r="AG7" s="3"/>
    </row>
    <row r="8" spans="1:35" s="2" customFormat="1" ht="36" x14ac:dyDescent="0.25">
      <c r="A8" s="47" t="s">
        <v>2</v>
      </c>
      <c r="B8" s="47" t="s">
        <v>3</v>
      </c>
      <c r="C8" s="47" t="s">
        <v>37</v>
      </c>
      <c r="D8" s="47" t="s">
        <v>20</v>
      </c>
      <c r="E8" s="48" t="s">
        <v>4</v>
      </c>
      <c r="F8" s="49" t="s">
        <v>81</v>
      </c>
      <c r="G8" s="47" t="s">
        <v>38</v>
      </c>
      <c r="H8" s="47" t="s">
        <v>39</v>
      </c>
      <c r="I8" s="47" t="s">
        <v>43</v>
      </c>
      <c r="J8" s="47" t="s">
        <v>5</v>
      </c>
      <c r="K8" s="47" t="s">
        <v>6</v>
      </c>
      <c r="L8" s="47" t="s">
        <v>21</v>
      </c>
      <c r="M8" s="47" t="s">
        <v>40</v>
      </c>
      <c r="N8" s="50" t="s">
        <v>7</v>
      </c>
      <c r="O8" s="51" t="s">
        <v>80</v>
      </c>
      <c r="P8" s="47" t="s">
        <v>38</v>
      </c>
      <c r="Q8" s="47" t="s">
        <v>39</v>
      </c>
      <c r="R8" s="47" t="s">
        <v>43</v>
      </c>
      <c r="S8" s="47" t="s">
        <v>5</v>
      </c>
      <c r="T8" s="47" t="s">
        <v>6</v>
      </c>
      <c r="U8" s="47" t="s">
        <v>22</v>
      </c>
      <c r="V8" s="47" t="s">
        <v>40</v>
      </c>
      <c r="W8" s="50" t="s">
        <v>7</v>
      </c>
      <c r="X8" s="51" t="s">
        <v>80</v>
      </c>
      <c r="Y8" s="47" t="s">
        <v>38</v>
      </c>
      <c r="Z8" s="47" t="s">
        <v>39</v>
      </c>
      <c r="AA8" s="47" t="s">
        <v>43</v>
      </c>
      <c r="AB8" s="47" t="s">
        <v>5</v>
      </c>
      <c r="AC8" s="47" t="s">
        <v>6</v>
      </c>
      <c r="AD8" s="47" t="s">
        <v>8</v>
      </c>
      <c r="AE8" s="47" t="s">
        <v>40</v>
      </c>
      <c r="AF8" s="50" t="s">
        <v>7</v>
      </c>
      <c r="AG8" s="52" t="s">
        <v>9</v>
      </c>
    </row>
    <row r="9" spans="1:35" s="4" customFormat="1" x14ac:dyDescent="0.25">
      <c r="A9" s="11">
        <v>1</v>
      </c>
      <c r="B9" s="69" t="s">
        <v>78</v>
      </c>
      <c r="C9" s="69" t="s">
        <v>78</v>
      </c>
      <c r="D9" s="69" t="s">
        <v>78</v>
      </c>
      <c r="E9" s="70"/>
      <c r="F9" s="68"/>
      <c r="G9" s="43">
        <f>HOUR(F9)</f>
        <v>0</v>
      </c>
      <c r="H9" s="43">
        <f>MINUTE(F9)</f>
        <v>0</v>
      </c>
      <c r="I9" s="44">
        <f t="shared" ref="I9" si="0">ROUND(H9/60,2)</f>
        <v>0</v>
      </c>
      <c r="J9" s="44">
        <f t="shared" ref="J9" si="1">G9+I9</f>
        <v>0</v>
      </c>
      <c r="K9" s="44">
        <f>ROUND(E9/240,2)</f>
        <v>0</v>
      </c>
      <c r="L9" s="44">
        <f>ROUND(K9*25%,2)</f>
        <v>0</v>
      </c>
      <c r="M9" s="44">
        <f t="shared" ref="M9:M10" si="2">K9+L9</f>
        <v>0</v>
      </c>
      <c r="N9" s="66">
        <f t="shared" ref="N9:N14" si="3">ROUND(J9*M9,2)</f>
        <v>0</v>
      </c>
      <c r="O9" s="68"/>
      <c r="P9" s="45">
        <f>HOUR(O9)</f>
        <v>0</v>
      </c>
      <c r="Q9" s="45">
        <f>MINUTE(O9)</f>
        <v>0</v>
      </c>
      <c r="R9" s="44">
        <f t="shared" ref="R9" si="4">ROUND(Q9/60,2)</f>
        <v>0</v>
      </c>
      <c r="S9" s="44">
        <f t="shared" ref="S9" si="5">P9+R9</f>
        <v>0</v>
      </c>
      <c r="T9" s="44">
        <f>ROUND(E9/240,2)</f>
        <v>0</v>
      </c>
      <c r="U9" s="44">
        <f>ROUND(T9*60%,2)</f>
        <v>0</v>
      </c>
      <c r="V9" s="44">
        <f t="shared" ref="V9" si="6">ROUND(T9+U9,2)</f>
        <v>0</v>
      </c>
      <c r="W9" s="66">
        <f>V9*S9</f>
        <v>0</v>
      </c>
      <c r="X9" s="68"/>
      <c r="Y9" s="45">
        <f>HOUR(X9)</f>
        <v>0</v>
      </c>
      <c r="Z9" s="45">
        <f>MINUTE(X9)</f>
        <v>0</v>
      </c>
      <c r="AA9" s="44">
        <f t="shared" ref="AA9" si="7">ROUND(Z9/60,2)</f>
        <v>0</v>
      </c>
      <c r="AB9" s="44">
        <f t="shared" ref="AB9" si="8">Y9+AA9</f>
        <v>0</v>
      </c>
      <c r="AC9" s="44">
        <f t="shared" ref="AC9:AC12" si="9">ROUND(E9/240,2)</f>
        <v>0</v>
      </c>
      <c r="AD9" s="44">
        <f t="shared" ref="AD9:AD12" si="10">ROUND(AC9*100%,2)</f>
        <v>0</v>
      </c>
      <c r="AE9" s="44">
        <f t="shared" ref="AE9:AE12" si="11">ROUND(AC9+AD9,2)</f>
        <v>0</v>
      </c>
      <c r="AF9" s="66">
        <f>AE9*AB9</f>
        <v>0</v>
      </c>
      <c r="AG9" s="72">
        <f>N9+W9+AF9</f>
        <v>0</v>
      </c>
      <c r="AI9" s="13"/>
    </row>
    <row r="10" spans="1:35" s="4" customFormat="1" x14ac:dyDescent="0.25">
      <c r="A10" s="11">
        <v>2</v>
      </c>
      <c r="B10" s="69" t="s">
        <v>78</v>
      </c>
      <c r="C10" s="69" t="s">
        <v>78</v>
      </c>
      <c r="D10" s="69" t="s">
        <v>78</v>
      </c>
      <c r="E10" s="70"/>
      <c r="F10" s="68"/>
      <c r="G10" s="43">
        <f t="shared" ref="G10:G14" si="12">HOUR(F10)</f>
        <v>0</v>
      </c>
      <c r="H10" s="43">
        <f t="shared" ref="H10:H14" si="13">MINUTE(F10)</f>
        <v>0</v>
      </c>
      <c r="I10" s="44">
        <f t="shared" ref="I10:I14" si="14">ROUND(H10/60,2)</f>
        <v>0</v>
      </c>
      <c r="J10" s="44">
        <f t="shared" ref="J10:J14" si="15">G10+I10</f>
        <v>0</v>
      </c>
      <c r="K10" s="44">
        <f t="shared" ref="K10" si="16">ROUND(E10/240,2)</f>
        <v>0</v>
      </c>
      <c r="L10" s="44">
        <f t="shared" ref="L10:L14" si="17">ROUND(K10*25%,2)</f>
        <v>0</v>
      </c>
      <c r="M10" s="44">
        <f t="shared" si="2"/>
        <v>0</v>
      </c>
      <c r="N10" s="66">
        <f>ROUND(J10*M10,2)</f>
        <v>0</v>
      </c>
      <c r="O10" s="68"/>
      <c r="P10" s="45">
        <f t="shared" ref="P10:P14" si="18">HOUR(O10)</f>
        <v>0</v>
      </c>
      <c r="Q10" s="45">
        <f t="shared" ref="Q10:Q14" si="19">MINUTE(O10)</f>
        <v>0</v>
      </c>
      <c r="R10" s="44">
        <f t="shared" ref="R10:R13" si="20">ROUND(Q10/60,2)</f>
        <v>0</v>
      </c>
      <c r="S10" s="44">
        <f t="shared" ref="S10:S13" si="21">P10+R10</f>
        <v>0</v>
      </c>
      <c r="T10" s="44">
        <f t="shared" ref="T10:T13" si="22">ROUND(E10/240,2)</f>
        <v>0</v>
      </c>
      <c r="U10" s="44">
        <f t="shared" ref="U10:U13" si="23">ROUND(T10*60%,2)</f>
        <v>0</v>
      </c>
      <c r="V10" s="44">
        <f t="shared" ref="V10:V13" si="24">ROUND(T10+U10,2)</f>
        <v>0</v>
      </c>
      <c r="W10" s="66">
        <f t="shared" ref="W10:W14" si="25">V10*S10</f>
        <v>0</v>
      </c>
      <c r="X10" s="68"/>
      <c r="Y10" s="45">
        <f t="shared" ref="Y10:Y14" si="26">HOUR(X10)</f>
        <v>0</v>
      </c>
      <c r="Z10" s="45">
        <f t="shared" ref="Z10:Z14" si="27">MINUTE(X10)</f>
        <v>0</v>
      </c>
      <c r="AA10" s="44">
        <f t="shared" ref="AA10:AA14" si="28">ROUND(Z10/60,2)</f>
        <v>0</v>
      </c>
      <c r="AB10" s="44">
        <f t="shared" ref="AB10:AB14" si="29">Y10+AA10</f>
        <v>0</v>
      </c>
      <c r="AC10" s="44">
        <f t="shared" si="9"/>
        <v>0</v>
      </c>
      <c r="AD10" s="44">
        <f t="shared" si="10"/>
        <v>0</v>
      </c>
      <c r="AE10" s="44">
        <f t="shared" si="11"/>
        <v>0</v>
      </c>
      <c r="AF10" s="66">
        <f t="shared" ref="AF10:AF14" si="30">AE10*AB10</f>
        <v>0</v>
      </c>
      <c r="AG10" s="72">
        <f t="shared" ref="AG10:AG14" si="31">N10+W10+AF10</f>
        <v>0</v>
      </c>
      <c r="AI10" s="13"/>
    </row>
    <row r="11" spans="1:35" s="4" customFormat="1" x14ac:dyDescent="0.25">
      <c r="A11" s="11">
        <v>3</v>
      </c>
      <c r="B11" s="69" t="s">
        <v>78</v>
      </c>
      <c r="C11" s="69" t="s">
        <v>78</v>
      </c>
      <c r="D11" s="69" t="s">
        <v>78</v>
      </c>
      <c r="E11" s="70"/>
      <c r="F11" s="68"/>
      <c r="G11" s="43">
        <f t="shared" si="12"/>
        <v>0</v>
      </c>
      <c r="H11" s="43">
        <f t="shared" si="13"/>
        <v>0</v>
      </c>
      <c r="I11" s="44">
        <f t="shared" si="14"/>
        <v>0</v>
      </c>
      <c r="J11" s="44">
        <f t="shared" si="15"/>
        <v>0</v>
      </c>
      <c r="K11" s="44">
        <f t="shared" ref="K11:K14" si="32">ROUND(E11/240,2)</f>
        <v>0</v>
      </c>
      <c r="L11" s="44">
        <f t="shared" si="17"/>
        <v>0</v>
      </c>
      <c r="M11" s="44">
        <f t="shared" ref="M11:M14" si="33">K11+L11</f>
        <v>0</v>
      </c>
      <c r="N11" s="66">
        <f>ROUND(J11*M11,2)</f>
        <v>0</v>
      </c>
      <c r="O11" s="68"/>
      <c r="P11" s="45">
        <f t="shared" si="18"/>
        <v>0</v>
      </c>
      <c r="Q11" s="45">
        <f t="shared" si="19"/>
        <v>0</v>
      </c>
      <c r="R11" s="44">
        <f t="shared" si="20"/>
        <v>0</v>
      </c>
      <c r="S11" s="44">
        <f t="shared" si="21"/>
        <v>0</v>
      </c>
      <c r="T11" s="44">
        <f t="shared" si="22"/>
        <v>0</v>
      </c>
      <c r="U11" s="44">
        <f t="shared" si="23"/>
        <v>0</v>
      </c>
      <c r="V11" s="44">
        <f t="shared" si="24"/>
        <v>0</v>
      </c>
      <c r="W11" s="66">
        <f t="shared" si="25"/>
        <v>0</v>
      </c>
      <c r="X11" s="68"/>
      <c r="Y11" s="45">
        <f t="shared" si="26"/>
        <v>0</v>
      </c>
      <c r="Z11" s="45">
        <f t="shared" si="27"/>
        <v>0</v>
      </c>
      <c r="AA11" s="44">
        <f t="shared" si="28"/>
        <v>0</v>
      </c>
      <c r="AB11" s="44">
        <f t="shared" si="29"/>
        <v>0</v>
      </c>
      <c r="AC11" s="44">
        <f t="shared" si="9"/>
        <v>0</v>
      </c>
      <c r="AD11" s="44">
        <f t="shared" si="10"/>
        <v>0</v>
      </c>
      <c r="AE11" s="44">
        <f t="shared" si="11"/>
        <v>0</v>
      </c>
      <c r="AF11" s="66">
        <f t="shared" si="30"/>
        <v>0</v>
      </c>
      <c r="AG11" s="72">
        <f t="shared" si="31"/>
        <v>0</v>
      </c>
      <c r="AI11" s="13"/>
    </row>
    <row r="12" spans="1:35" s="4" customFormat="1" x14ac:dyDescent="0.25">
      <c r="A12" s="11">
        <v>4</v>
      </c>
      <c r="B12" s="69" t="s">
        <v>78</v>
      </c>
      <c r="C12" s="69" t="s">
        <v>78</v>
      </c>
      <c r="D12" s="69" t="s">
        <v>78</v>
      </c>
      <c r="E12" s="70"/>
      <c r="F12" s="68"/>
      <c r="G12" s="43">
        <f t="shared" si="12"/>
        <v>0</v>
      </c>
      <c r="H12" s="43">
        <f t="shared" si="13"/>
        <v>0</v>
      </c>
      <c r="I12" s="44">
        <f t="shared" si="14"/>
        <v>0</v>
      </c>
      <c r="J12" s="44">
        <f t="shared" si="15"/>
        <v>0</v>
      </c>
      <c r="K12" s="44">
        <f t="shared" si="32"/>
        <v>0</v>
      </c>
      <c r="L12" s="44">
        <f t="shared" si="17"/>
        <v>0</v>
      </c>
      <c r="M12" s="44">
        <f t="shared" si="33"/>
        <v>0</v>
      </c>
      <c r="N12" s="66">
        <f t="shared" si="3"/>
        <v>0</v>
      </c>
      <c r="O12" s="68"/>
      <c r="P12" s="45">
        <f t="shared" si="18"/>
        <v>0</v>
      </c>
      <c r="Q12" s="45">
        <f t="shared" si="19"/>
        <v>0</v>
      </c>
      <c r="R12" s="44">
        <f t="shared" si="20"/>
        <v>0</v>
      </c>
      <c r="S12" s="44">
        <f t="shared" si="21"/>
        <v>0</v>
      </c>
      <c r="T12" s="44">
        <f t="shared" si="22"/>
        <v>0</v>
      </c>
      <c r="U12" s="44">
        <f t="shared" si="23"/>
        <v>0</v>
      </c>
      <c r="V12" s="44">
        <f t="shared" si="24"/>
        <v>0</v>
      </c>
      <c r="W12" s="66">
        <f t="shared" si="25"/>
        <v>0</v>
      </c>
      <c r="X12" s="68"/>
      <c r="Y12" s="45">
        <f t="shared" si="26"/>
        <v>0</v>
      </c>
      <c r="Z12" s="45">
        <f t="shared" si="27"/>
        <v>0</v>
      </c>
      <c r="AA12" s="44">
        <f t="shared" si="28"/>
        <v>0</v>
      </c>
      <c r="AB12" s="44">
        <f t="shared" si="29"/>
        <v>0</v>
      </c>
      <c r="AC12" s="44">
        <f t="shared" si="9"/>
        <v>0</v>
      </c>
      <c r="AD12" s="44">
        <f t="shared" si="10"/>
        <v>0</v>
      </c>
      <c r="AE12" s="44">
        <f t="shared" si="11"/>
        <v>0</v>
      </c>
      <c r="AF12" s="66">
        <f t="shared" si="30"/>
        <v>0</v>
      </c>
      <c r="AG12" s="72">
        <f t="shared" si="31"/>
        <v>0</v>
      </c>
      <c r="AI12" s="13"/>
    </row>
    <row r="13" spans="1:35" s="4" customFormat="1" x14ac:dyDescent="0.25">
      <c r="A13" s="11">
        <v>5</v>
      </c>
      <c r="B13" s="69" t="s">
        <v>78</v>
      </c>
      <c r="C13" s="69" t="s">
        <v>78</v>
      </c>
      <c r="D13" s="69" t="s">
        <v>78</v>
      </c>
      <c r="E13" s="70"/>
      <c r="F13" s="68"/>
      <c r="G13" s="43">
        <f t="shared" si="12"/>
        <v>0</v>
      </c>
      <c r="H13" s="43">
        <f t="shared" si="13"/>
        <v>0</v>
      </c>
      <c r="I13" s="44">
        <f t="shared" si="14"/>
        <v>0</v>
      </c>
      <c r="J13" s="44">
        <f t="shared" si="15"/>
        <v>0</v>
      </c>
      <c r="K13" s="44">
        <f t="shared" si="32"/>
        <v>0</v>
      </c>
      <c r="L13" s="44">
        <f t="shared" si="17"/>
        <v>0</v>
      </c>
      <c r="M13" s="44">
        <f t="shared" si="33"/>
        <v>0</v>
      </c>
      <c r="N13" s="66">
        <f t="shared" si="3"/>
        <v>0</v>
      </c>
      <c r="O13" s="68"/>
      <c r="P13" s="45">
        <f t="shared" si="18"/>
        <v>0</v>
      </c>
      <c r="Q13" s="45">
        <f t="shared" si="19"/>
        <v>0</v>
      </c>
      <c r="R13" s="44">
        <f t="shared" si="20"/>
        <v>0</v>
      </c>
      <c r="S13" s="44">
        <f t="shared" si="21"/>
        <v>0</v>
      </c>
      <c r="T13" s="44">
        <f t="shared" si="22"/>
        <v>0</v>
      </c>
      <c r="U13" s="44">
        <f t="shared" si="23"/>
        <v>0</v>
      </c>
      <c r="V13" s="44">
        <f t="shared" si="24"/>
        <v>0</v>
      </c>
      <c r="W13" s="66">
        <f t="shared" si="25"/>
        <v>0</v>
      </c>
      <c r="X13" s="68"/>
      <c r="Y13" s="45">
        <f t="shared" si="26"/>
        <v>0</v>
      </c>
      <c r="Z13" s="45">
        <f t="shared" si="27"/>
        <v>0</v>
      </c>
      <c r="AA13" s="44">
        <f t="shared" si="28"/>
        <v>0</v>
      </c>
      <c r="AB13" s="44">
        <f t="shared" si="29"/>
        <v>0</v>
      </c>
      <c r="AC13" s="44">
        <f t="shared" ref="AC13" si="34">ROUND(E13/240,2)</f>
        <v>0</v>
      </c>
      <c r="AD13" s="44">
        <f t="shared" ref="AD13" si="35">ROUND(AC13*100%,2)</f>
        <v>0</v>
      </c>
      <c r="AE13" s="44">
        <f t="shared" ref="AE13" si="36">ROUND(AC13+AD13,2)</f>
        <v>0</v>
      </c>
      <c r="AF13" s="66">
        <f t="shared" si="30"/>
        <v>0</v>
      </c>
      <c r="AG13" s="72">
        <f t="shared" si="31"/>
        <v>0</v>
      </c>
      <c r="AI13" s="13"/>
    </row>
    <row r="14" spans="1:35" s="4" customFormat="1" x14ac:dyDescent="0.25">
      <c r="A14" s="11">
        <v>6</v>
      </c>
      <c r="B14" s="69" t="s">
        <v>78</v>
      </c>
      <c r="C14" s="69" t="s">
        <v>78</v>
      </c>
      <c r="D14" s="69" t="s">
        <v>78</v>
      </c>
      <c r="E14" s="70"/>
      <c r="F14" s="68"/>
      <c r="G14" s="43">
        <f t="shared" si="12"/>
        <v>0</v>
      </c>
      <c r="H14" s="43">
        <f t="shared" si="13"/>
        <v>0</v>
      </c>
      <c r="I14" s="44">
        <f t="shared" si="14"/>
        <v>0</v>
      </c>
      <c r="J14" s="44">
        <f t="shared" si="15"/>
        <v>0</v>
      </c>
      <c r="K14" s="44">
        <f t="shared" si="32"/>
        <v>0</v>
      </c>
      <c r="L14" s="44">
        <f t="shared" si="17"/>
        <v>0</v>
      </c>
      <c r="M14" s="44">
        <f t="shared" si="33"/>
        <v>0</v>
      </c>
      <c r="N14" s="66">
        <f t="shared" si="3"/>
        <v>0</v>
      </c>
      <c r="O14" s="68"/>
      <c r="P14" s="45">
        <f t="shared" si="18"/>
        <v>0</v>
      </c>
      <c r="Q14" s="45">
        <f t="shared" si="19"/>
        <v>0</v>
      </c>
      <c r="R14" s="44">
        <f t="shared" ref="R14" si="37">ROUND(Q14/60,2)</f>
        <v>0</v>
      </c>
      <c r="S14" s="44">
        <f t="shared" ref="S14" si="38">P14+R14</f>
        <v>0</v>
      </c>
      <c r="T14" s="44">
        <f t="shared" ref="T14" si="39">ROUND(E14/240,2)</f>
        <v>0</v>
      </c>
      <c r="U14" s="44">
        <f t="shared" ref="U14" si="40">ROUND(T14*60%,2)</f>
        <v>0</v>
      </c>
      <c r="V14" s="44">
        <f t="shared" ref="V14" si="41">ROUND(T14+U14,2)</f>
        <v>0</v>
      </c>
      <c r="W14" s="66">
        <f t="shared" si="25"/>
        <v>0</v>
      </c>
      <c r="X14" s="68"/>
      <c r="Y14" s="45">
        <f t="shared" si="26"/>
        <v>0</v>
      </c>
      <c r="Z14" s="45">
        <f t="shared" si="27"/>
        <v>0</v>
      </c>
      <c r="AA14" s="44">
        <f t="shared" si="28"/>
        <v>0</v>
      </c>
      <c r="AB14" s="44">
        <f t="shared" si="29"/>
        <v>0</v>
      </c>
      <c r="AC14" s="44">
        <f t="shared" ref="AC14" si="42">ROUND(E14/240,2)</f>
        <v>0</v>
      </c>
      <c r="AD14" s="44">
        <f t="shared" ref="AD14" si="43">ROUND(AC14*100%,2)</f>
        <v>0</v>
      </c>
      <c r="AE14" s="44">
        <f t="shared" ref="AE14" si="44">ROUND(AC14+AD14,2)</f>
        <v>0</v>
      </c>
      <c r="AF14" s="66">
        <f t="shared" si="30"/>
        <v>0</v>
      </c>
      <c r="AG14" s="72">
        <f t="shared" si="31"/>
        <v>0</v>
      </c>
      <c r="AI14" s="13"/>
    </row>
    <row r="15" spans="1:35" s="4" customFormat="1" x14ac:dyDescent="0.25">
      <c r="A15" s="11">
        <v>7</v>
      </c>
      <c r="B15" s="69" t="s">
        <v>78</v>
      </c>
      <c r="C15" s="69" t="s">
        <v>78</v>
      </c>
      <c r="D15" s="69" t="s">
        <v>78</v>
      </c>
      <c r="E15" s="70"/>
      <c r="F15" s="68"/>
      <c r="G15" s="43">
        <f t="shared" ref="G15:G18" si="45">HOUR(F15)</f>
        <v>0</v>
      </c>
      <c r="H15" s="43">
        <f t="shared" ref="H15:H18" si="46">MINUTE(F15)</f>
        <v>0</v>
      </c>
      <c r="I15" s="44">
        <f t="shared" ref="I15:I18" si="47">ROUND(H15/60,2)</f>
        <v>0</v>
      </c>
      <c r="J15" s="44">
        <f t="shared" ref="J15:J18" si="48">G15+I15</f>
        <v>0</v>
      </c>
      <c r="K15" s="44">
        <f t="shared" ref="K15:K18" si="49">ROUND(E15/240,2)</f>
        <v>0</v>
      </c>
      <c r="L15" s="44">
        <f t="shared" ref="L15:L18" si="50">ROUND(K15*25%,2)</f>
        <v>0</v>
      </c>
      <c r="M15" s="44">
        <f t="shared" ref="M15:M18" si="51">K15+L15</f>
        <v>0</v>
      </c>
      <c r="N15" s="66">
        <f t="shared" ref="N15:N18" si="52">ROUND(J15*M15,2)</f>
        <v>0</v>
      </c>
      <c r="O15" s="68"/>
      <c r="P15" s="45">
        <f t="shared" ref="P15:P18" si="53">HOUR(O15)</f>
        <v>0</v>
      </c>
      <c r="Q15" s="45">
        <f t="shared" ref="Q15:Q18" si="54">MINUTE(O15)</f>
        <v>0</v>
      </c>
      <c r="R15" s="44">
        <f t="shared" ref="R15:R18" si="55">ROUND(Q15/60,2)</f>
        <v>0</v>
      </c>
      <c r="S15" s="44">
        <f t="shared" ref="S15:S18" si="56">P15+R15</f>
        <v>0</v>
      </c>
      <c r="T15" s="44">
        <f t="shared" ref="T15:T18" si="57">ROUND(E15/240,2)</f>
        <v>0</v>
      </c>
      <c r="U15" s="44">
        <f t="shared" ref="U15:U18" si="58">ROUND(T15*60%,2)</f>
        <v>0</v>
      </c>
      <c r="V15" s="44">
        <f t="shared" ref="V15:V18" si="59">ROUND(T15+U15,2)</f>
        <v>0</v>
      </c>
      <c r="W15" s="66">
        <f t="shared" ref="W15:W18" si="60">V15*S15</f>
        <v>0</v>
      </c>
      <c r="X15" s="68"/>
      <c r="Y15" s="45">
        <f t="shared" ref="Y15:Y18" si="61">HOUR(X15)</f>
        <v>0</v>
      </c>
      <c r="Z15" s="45">
        <f t="shared" ref="Z15:Z18" si="62">MINUTE(X15)</f>
        <v>0</v>
      </c>
      <c r="AA15" s="44">
        <f t="shared" ref="AA15:AA18" si="63">ROUND(Z15/60,2)</f>
        <v>0</v>
      </c>
      <c r="AB15" s="44">
        <f t="shared" ref="AB15:AB18" si="64">Y15+AA15</f>
        <v>0</v>
      </c>
      <c r="AC15" s="44">
        <f t="shared" ref="AC15:AC18" si="65">ROUND(E15/240,2)</f>
        <v>0</v>
      </c>
      <c r="AD15" s="44">
        <f t="shared" ref="AD15:AD18" si="66">ROUND(AC15*100%,2)</f>
        <v>0</v>
      </c>
      <c r="AE15" s="44">
        <f t="shared" ref="AE15:AE18" si="67">ROUND(AC15+AD15,2)</f>
        <v>0</v>
      </c>
      <c r="AF15" s="66">
        <f t="shared" ref="AF15:AF18" si="68">AE15*AB15</f>
        <v>0</v>
      </c>
      <c r="AG15" s="72">
        <f t="shared" ref="AG15:AG18" si="69">N15+W15+AF15</f>
        <v>0</v>
      </c>
      <c r="AI15" s="13"/>
    </row>
    <row r="16" spans="1:35" s="4" customFormat="1" x14ac:dyDescent="0.25">
      <c r="A16" s="11">
        <v>8</v>
      </c>
      <c r="B16" s="69" t="s">
        <v>78</v>
      </c>
      <c r="C16" s="69" t="s">
        <v>78</v>
      </c>
      <c r="D16" s="69" t="s">
        <v>78</v>
      </c>
      <c r="E16" s="70"/>
      <c r="F16" s="68"/>
      <c r="G16" s="43">
        <f t="shared" si="45"/>
        <v>0</v>
      </c>
      <c r="H16" s="43">
        <f t="shared" si="46"/>
        <v>0</v>
      </c>
      <c r="I16" s="44">
        <f t="shared" si="47"/>
        <v>0</v>
      </c>
      <c r="J16" s="44">
        <f t="shared" si="48"/>
        <v>0</v>
      </c>
      <c r="K16" s="44">
        <f t="shared" si="49"/>
        <v>0</v>
      </c>
      <c r="L16" s="44">
        <f t="shared" si="50"/>
        <v>0</v>
      </c>
      <c r="M16" s="44">
        <f t="shared" si="51"/>
        <v>0</v>
      </c>
      <c r="N16" s="66">
        <f t="shared" si="52"/>
        <v>0</v>
      </c>
      <c r="O16" s="68"/>
      <c r="P16" s="45">
        <f t="shared" si="53"/>
        <v>0</v>
      </c>
      <c r="Q16" s="45">
        <f t="shared" si="54"/>
        <v>0</v>
      </c>
      <c r="R16" s="44">
        <f t="shared" si="55"/>
        <v>0</v>
      </c>
      <c r="S16" s="44">
        <f t="shared" si="56"/>
        <v>0</v>
      </c>
      <c r="T16" s="44">
        <f t="shared" si="57"/>
        <v>0</v>
      </c>
      <c r="U16" s="44">
        <f t="shared" si="58"/>
        <v>0</v>
      </c>
      <c r="V16" s="44">
        <f t="shared" si="59"/>
        <v>0</v>
      </c>
      <c r="W16" s="66">
        <f t="shared" si="60"/>
        <v>0</v>
      </c>
      <c r="X16" s="68"/>
      <c r="Y16" s="45">
        <f t="shared" si="61"/>
        <v>0</v>
      </c>
      <c r="Z16" s="45">
        <f t="shared" si="62"/>
        <v>0</v>
      </c>
      <c r="AA16" s="44">
        <f t="shared" si="63"/>
        <v>0</v>
      </c>
      <c r="AB16" s="44">
        <f t="shared" si="64"/>
        <v>0</v>
      </c>
      <c r="AC16" s="44">
        <f t="shared" si="65"/>
        <v>0</v>
      </c>
      <c r="AD16" s="44">
        <f t="shared" si="66"/>
        <v>0</v>
      </c>
      <c r="AE16" s="44">
        <f t="shared" si="67"/>
        <v>0</v>
      </c>
      <c r="AF16" s="66">
        <f t="shared" si="68"/>
        <v>0</v>
      </c>
      <c r="AG16" s="72">
        <f t="shared" si="69"/>
        <v>0</v>
      </c>
      <c r="AI16" s="13"/>
    </row>
    <row r="17" spans="1:35" s="4" customFormat="1" x14ac:dyDescent="0.25">
      <c r="A17" s="11">
        <v>9</v>
      </c>
      <c r="B17" s="69" t="s">
        <v>78</v>
      </c>
      <c r="C17" s="69" t="s">
        <v>78</v>
      </c>
      <c r="D17" s="69" t="s">
        <v>78</v>
      </c>
      <c r="E17" s="70"/>
      <c r="F17" s="68"/>
      <c r="G17" s="43">
        <f t="shared" si="45"/>
        <v>0</v>
      </c>
      <c r="H17" s="43">
        <f t="shared" si="46"/>
        <v>0</v>
      </c>
      <c r="I17" s="44">
        <f t="shared" si="47"/>
        <v>0</v>
      </c>
      <c r="J17" s="44">
        <f t="shared" si="48"/>
        <v>0</v>
      </c>
      <c r="K17" s="44">
        <f t="shared" si="49"/>
        <v>0</v>
      </c>
      <c r="L17" s="44">
        <f t="shared" si="50"/>
        <v>0</v>
      </c>
      <c r="M17" s="44">
        <f t="shared" si="51"/>
        <v>0</v>
      </c>
      <c r="N17" s="66">
        <f t="shared" si="52"/>
        <v>0</v>
      </c>
      <c r="O17" s="68"/>
      <c r="P17" s="45">
        <f t="shared" si="53"/>
        <v>0</v>
      </c>
      <c r="Q17" s="45">
        <f t="shared" si="54"/>
        <v>0</v>
      </c>
      <c r="R17" s="44">
        <f t="shared" si="55"/>
        <v>0</v>
      </c>
      <c r="S17" s="44">
        <f t="shared" si="56"/>
        <v>0</v>
      </c>
      <c r="T17" s="44">
        <f t="shared" si="57"/>
        <v>0</v>
      </c>
      <c r="U17" s="44">
        <f t="shared" si="58"/>
        <v>0</v>
      </c>
      <c r="V17" s="44">
        <f t="shared" si="59"/>
        <v>0</v>
      </c>
      <c r="W17" s="66">
        <f t="shared" si="60"/>
        <v>0</v>
      </c>
      <c r="X17" s="68"/>
      <c r="Y17" s="45">
        <f t="shared" si="61"/>
        <v>0</v>
      </c>
      <c r="Z17" s="45">
        <f t="shared" si="62"/>
        <v>0</v>
      </c>
      <c r="AA17" s="44">
        <f t="shared" si="63"/>
        <v>0</v>
      </c>
      <c r="AB17" s="44">
        <f t="shared" si="64"/>
        <v>0</v>
      </c>
      <c r="AC17" s="44">
        <f t="shared" si="65"/>
        <v>0</v>
      </c>
      <c r="AD17" s="44">
        <f t="shared" si="66"/>
        <v>0</v>
      </c>
      <c r="AE17" s="44">
        <f t="shared" si="67"/>
        <v>0</v>
      </c>
      <c r="AF17" s="66">
        <f t="shared" si="68"/>
        <v>0</v>
      </c>
      <c r="AG17" s="72">
        <f t="shared" si="69"/>
        <v>0</v>
      </c>
      <c r="AI17" s="13"/>
    </row>
    <row r="18" spans="1:35" s="4" customFormat="1" ht="12.6" thickBot="1" x14ac:dyDescent="0.3">
      <c r="A18" s="11">
        <v>10</v>
      </c>
      <c r="B18" s="69" t="s">
        <v>78</v>
      </c>
      <c r="C18" s="69" t="s">
        <v>78</v>
      </c>
      <c r="D18" s="69" t="s">
        <v>78</v>
      </c>
      <c r="E18" s="70"/>
      <c r="F18" s="68"/>
      <c r="G18" s="43">
        <f t="shared" si="45"/>
        <v>0</v>
      </c>
      <c r="H18" s="43">
        <f t="shared" si="46"/>
        <v>0</v>
      </c>
      <c r="I18" s="44">
        <f t="shared" si="47"/>
        <v>0</v>
      </c>
      <c r="J18" s="44">
        <f t="shared" si="48"/>
        <v>0</v>
      </c>
      <c r="K18" s="44">
        <f t="shared" si="49"/>
        <v>0</v>
      </c>
      <c r="L18" s="44">
        <f t="shared" si="50"/>
        <v>0</v>
      </c>
      <c r="M18" s="44">
        <f t="shared" si="51"/>
        <v>0</v>
      </c>
      <c r="N18" s="66">
        <f t="shared" si="52"/>
        <v>0</v>
      </c>
      <c r="O18" s="68"/>
      <c r="P18" s="45">
        <f t="shared" si="53"/>
        <v>0</v>
      </c>
      <c r="Q18" s="45">
        <f t="shared" si="54"/>
        <v>0</v>
      </c>
      <c r="R18" s="44">
        <f t="shared" si="55"/>
        <v>0</v>
      </c>
      <c r="S18" s="44">
        <f t="shared" si="56"/>
        <v>0</v>
      </c>
      <c r="T18" s="44">
        <f t="shared" si="57"/>
        <v>0</v>
      </c>
      <c r="U18" s="44">
        <f t="shared" si="58"/>
        <v>0</v>
      </c>
      <c r="V18" s="44">
        <f t="shared" si="59"/>
        <v>0</v>
      </c>
      <c r="W18" s="66">
        <f t="shared" si="60"/>
        <v>0</v>
      </c>
      <c r="X18" s="68"/>
      <c r="Y18" s="45">
        <f t="shared" si="61"/>
        <v>0</v>
      </c>
      <c r="Z18" s="45">
        <f t="shared" si="62"/>
        <v>0</v>
      </c>
      <c r="AA18" s="44">
        <f t="shared" si="63"/>
        <v>0</v>
      </c>
      <c r="AB18" s="44">
        <f t="shared" si="64"/>
        <v>0</v>
      </c>
      <c r="AC18" s="44">
        <f t="shared" si="65"/>
        <v>0</v>
      </c>
      <c r="AD18" s="44">
        <f t="shared" si="66"/>
        <v>0</v>
      </c>
      <c r="AE18" s="44">
        <f t="shared" si="67"/>
        <v>0</v>
      </c>
      <c r="AF18" s="66">
        <f t="shared" si="68"/>
        <v>0</v>
      </c>
      <c r="AG18" s="72">
        <f t="shared" si="69"/>
        <v>0</v>
      </c>
      <c r="AI18" s="13"/>
    </row>
    <row r="19" spans="1:35" s="7" customFormat="1" ht="15.75" customHeight="1" thickBot="1" x14ac:dyDescent="0.3">
      <c r="A19" s="8"/>
      <c r="B19" s="8"/>
      <c r="E19" s="19">
        <f>SUM(E9:E18)</f>
        <v>0</v>
      </c>
      <c r="F19" s="101" t="s">
        <v>10</v>
      </c>
      <c r="G19" s="102"/>
      <c r="H19" s="102"/>
      <c r="I19" s="102"/>
      <c r="J19" s="102"/>
      <c r="K19" s="102"/>
      <c r="L19" s="102"/>
      <c r="M19" s="103"/>
      <c r="N19" s="67">
        <f>SUM(N9:N18)</f>
        <v>0</v>
      </c>
      <c r="O19" s="99" t="s">
        <v>25</v>
      </c>
      <c r="P19" s="100"/>
      <c r="Q19" s="100"/>
      <c r="R19" s="100"/>
      <c r="S19" s="100"/>
      <c r="T19" s="100"/>
      <c r="U19" s="100"/>
      <c r="V19" s="100"/>
      <c r="W19" s="71">
        <f>SUM(W9:W18)</f>
        <v>0</v>
      </c>
      <c r="X19" s="99" t="s">
        <v>26</v>
      </c>
      <c r="Y19" s="100"/>
      <c r="Z19" s="100"/>
      <c r="AA19" s="100"/>
      <c r="AB19" s="100"/>
      <c r="AC19" s="100"/>
      <c r="AD19" s="100"/>
      <c r="AE19" s="100"/>
      <c r="AF19" s="67">
        <f>SUM(AF9:AF18)</f>
        <v>0</v>
      </c>
      <c r="AG19" s="73">
        <f>+N19+AF19</f>
        <v>0</v>
      </c>
    </row>
    <row r="20" spans="1:35" ht="21.6" customHeight="1" x14ac:dyDescent="0.25">
      <c r="A20" s="74"/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6"/>
    </row>
    <row r="21" spans="1:35" s="4" customFormat="1" x14ac:dyDescent="0.25">
      <c r="A21" s="38"/>
      <c r="B21" s="38" t="s">
        <v>11</v>
      </c>
      <c r="C21" s="38"/>
      <c r="D21" s="38"/>
      <c r="E21" s="38"/>
      <c r="F21" s="38"/>
      <c r="G21" s="38"/>
      <c r="H21" s="38"/>
      <c r="I21" s="38"/>
      <c r="J21" s="38"/>
      <c r="K21" s="38"/>
      <c r="L21" s="38" t="s">
        <v>12</v>
      </c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 t="s">
        <v>13</v>
      </c>
      <c r="Y21" s="38"/>
      <c r="Z21" s="38"/>
      <c r="AA21" s="38"/>
      <c r="AB21" s="38"/>
      <c r="AC21" s="38"/>
      <c r="AD21" s="38"/>
      <c r="AE21" s="38"/>
      <c r="AF21" s="38"/>
      <c r="AG21" s="38"/>
    </row>
    <row r="22" spans="1:35" s="4" customFormat="1" ht="51" customHeight="1" x14ac:dyDescent="0.25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</row>
    <row r="23" spans="1:35" s="4" customFormat="1" x14ac:dyDescent="0.25">
      <c r="A23" s="38"/>
      <c r="B23" s="38" t="s">
        <v>41</v>
      </c>
      <c r="C23" s="38"/>
      <c r="D23" s="38"/>
      <c r="E23" s="38"/>
      <c r="F23" s="38"/>
      <c r="G23" s="38"/>
      <c r="H23" s="38"/>
      <c r="I23" s="38"/>
      <c r="J23" s="38"/>
      <c r="K23" s="38"/>
      <c r="L23" s="38" t="s">
        <v>41</v>
      </c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 t="s">
        <v>42</v>
      </c>
      <c r="Y23" s="38"/>
      <c r="Z23" s="38"/>
      <c r="AA23" s="38"/>
      <c r="AB23" s="38"/>
      <c r="AC23" s="38"/>
      <c r="AD23" s="38"/>
      <c r="AE23" s="38"/>
      <c r="AF23" s="38"/>
      <c r="AG23" s="38"/>
    </row>
    <row r="24" spans="1:35" s="9" customFormat="1" x14ac:dyDescent="0.25">
      <c r="A24" s="39"/>
      <c r="B24" s="39" t="s">
        <v>27</v>
      </c>
      <c r="C24" s="39"/>
      <c r="D24" s="39"/>
      <c r="E24" s="39"/>
      <c r="F24" s="39"/>
      <c r="G24" s="39"/>
      <c r="H24" s="39"/>
      <c r="I24" s="39"/>
      <c r="J24" s="39"/>
      <c r="K24" s="39"/>
      <c r="L24" s="39" t="s">
        <v>27</v>
      </c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 t="s">
        <v>14</v>
      </c>
      <c r="Y24" s="39"/>
      <c r="Z24" s="39"/>
      <c r="AA24" s="39"/>
      <c r="AB24" s="39"/>
      <c r="AC24" s="39"/>
      <c r="AD24" s="39"/>
      <c r="AE24" s="39"/>
      <c r="AF24" s="39"/>
      <c r="AG24" s="39"/>
    </row>
    <row r="25" spans="1:35" s="4" customFormat="1" x14ac:dyDescent="0.2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</row>
    <row r="26" spans="1:35" x14ac:dyDescent="0.25">
      <c r="A26" s="75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</row>
    <row r="27" spans="1:35" x14ac:dyDescent="0.25">
      <c r="A27" s="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</row>
    <row r="28" spans="1:35" x14ac:dyDescent="0.25">
      <c r="A28" s="75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</row>
    <row r="29" spans="1:35" x14ac:dyDescent="0.25">
      <c r="A29" s="75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</row>
    <row r="30" spans="1:35" x14ac:dyDescent="0.25">
      <c r="A30" s="75"/>
      <c r="B30" s="75"/>
      <c r="C30" s="75"/>
      <c r="D30" s="75"/>
      <c r="E30" s="75"/>
      <c r="F30" s="77"/>
      <c r="G30" s="77"/>
      <c r="H30" s="77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</row>
    <row r="41" spans="9:9" x14ac:dyDescent="0.25">
      <c r="I41" s="12"/>
    </row>
    <row r="42" spans="9:9" x14ac:dyDescent="0.25">
      <c r="I42" s="12"/>
    </row>
  </sheetData>
  <sheetProtection algorithmName="SHA-512" hashValue="ORtZ7HCcy3ktWB+EXN47VB7HBlF7iPWcFIKga3pXNZLPAWnOUyLhhvRVk9eB+QkPOer0Q4Z5fSr/IOYEkbWN8w==" saltValue="f6D3nWOnMFfRSbhIoACMBA==" spinCount="100000"/>
  <mergeCells count="13">
    <mergeCell ref="AE1:AG1"/>
    <mergeCell ref="D3:AG3"/>
    <mergeCell ref="X7:AF7"/>
    <mergeCell ref="X19:AE19"/>
    <mergeCell ref="F19:M19"/>
    <mergeCell ref="O19:V19"/>
    <mergeCell ref="F7:N7"/>
    <mergeCell ref="O7:W7"/>
    <mergeCell ref="R5:S5"/>
    <mergeCell ref="P5:Q5"/>
    <mergeCell ref="O4:T4"/>
    <mergeCell ref="D2:AD2"/>
    <mergeCell ref="D1:AD1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47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C82C17ED-54AA-4580-A313-5CB8A601A74E}">
          <x14:formula1>
            <xm:f>DATOS!$C$3:$C$14</xm:f>
          </x14:formula1>
          <xm:sqref>P5</xm:sqref>
        </x14:dataValidation>
        <x14:dataValidation type="list" allowBlank="1" showInputMessage="1" showErrorMessage="1" xr:uid="{E844A06F-20E7-46A6-9E1F-FEFB7621865D}">
          <x14:formula1>
            <xm:f>DATOS!$D$3:$D$13</xm:f>
          </x14:formula1>
          <xm:sqref>R5</xm:sqref>
        </x14:dataValidation>
        <x14:dataValidation type="list" allowBlank="1" showInputMessage="1" showErrorMessage="1" xr:uid="{EFA2901C-71D1-4C60-B192-1F5125A7EA23}">
          <x14:formula1>
            <xm:f>DATOS!$E$3:$E$29</xm:f>
          </x14:formula1>
          <xm:sqref>O4:T4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A19BD-3398-41BA-A52D-2AB4D63B11B5}">
  <sheetPr>
    <pageSetUpPr fitToPage="1"/>
  </sheetPr>
  <dimension ref="A1:H27"/>
  <sheetViews>
    <sheetView tabSelected="1" zoomScaleNormal="100" workbookViewId="0">
      <selection activeCell="D9" sqref="D9"/>
    </sheetView>
  </sheetViews>
  <sheetFormatPr baseColWidth="10" defaultColWidth="11.44140625" defaultRowHeight="14.4" x14ac:dyDescent="0.3"/>
  <cols>
    <col min="1" max="1" width="4.88671875" style="20" customWidth="1"/>
    <col min="2" max="2" width="16.21875" style="20" customWidth="1"/>
    <col min="3" max="3" width="42" style="20" customWidth="1"/>
    <col min="4" max="4" width="43.77734375" style="20" customWidth="1"/>
    <col min="5" max="5" width="14.88671875" style="20" customWidth="1"/>
    <col min="6" max="6" width="15.5546875" style="20" customWidth="1"/>
    <col min="7" max="7" width="6.33203125" style="20" customWidth="1"/>
    <col min="8" max="16384" width="11.44140625" style="20"/>
  </cols>
  <sheetData>
    <row r="1" spans="1:7" ht="15" customHeight="1" x14ac:dyDescent="0.3">
      <c r="A1" s="32"/>
      <c r="B1" s="33"/>
      <c r="C1" s="92" t="s">
        <v>0</v>
      </c>
      <c r="D1" s="92"/>
      <c r="E1" s="115" t="s">
        <v>83</v>
      </c>
      <c r="F1" s="116"/>
      <c r="G1" s="29"/>
    </row>
    <row r="2" spans="1:7" ht="15" customHeight="1" x14ac:dyDescent="0.3">
      <c r="A2" s="34"/>
      <c r="B2" s="89"/>
      <c r="C2" s="94" t="s">
        <v>85</v>
      </c>
      <c r="D2" s="94"/>
      <c r="E2" s="90"/>
      <c r="F2" s="91"/>
      <c r="G2" s="30"/>
    </row>
    <row r="3" spans="1:7" ht="15" customHeight="1" x14ac:dyDescent="0.3">
      <c r="A3" s="34"/>
      <c r="B3" s="89"/>
      <c r="C3" s="94" t="s">
        <v>29</v>
      </c>
      <c r="D3" s="94"/>
      <c r="E3" s="113"/>
      <c r="F3" s="110"/>
      <c r="G3" s="31"/>
    </row>
    <row r="4" spans="1:7" ht="15" customHeight="1" x14ac:dyDescent="0.3">
      <c r="A4" s="34"/>
      <c r="B4" s="89"/>
      <c r="C4" s="112" t="str">
        <f>'1.CÁLCULO CONSOLIDADO'!O4</f>
        <v>DIRECCIÓN GENERAL DE PLANIFICACIÓN Y PROCESOS</v>
      </c>
      <c r="D4" s="112"/>
      <c r="E4" s="113"/>
      <c r="F4" s="110"/>
      <c r="G4" s="28"/>
    </row>
    <row r="5" spans="1:7" ht="15" thickBot="1" x14ac:dyDescent="0.35">
      <c r="A5" s="35"/>
      <c r="B5" s="36"/>
      <c r="C5" s="78" t="str">
        <f>'1.CÁLCULO CONSOLIDADO'!P5</f>
        <v>JULIO</v>
      </c>
      <c r="D5" s="79">
        <f>'1.CÁLCULO CONSOLIDADO'!R5</f>
        <v>2029</v>
      </c>
      <c r="E5" s="114"/>
      <c r="F5" s="111"/>
    </row>
    <row r="6" spans="1:7" s="21" customFormat="1" ht="12" x14ac:dyDescent="0.25">
      <c r="D6" s="26"/>
    </row>
    <row r="7" spans="1:7" s="22" customFormat="1" ht="12" x14ac:dyDescent="0.25">
      <c r="A7" s="80" t="s">
        <v>44</v>
      </c>
      <c r="B7" s="80" t="s">
        <v>45</v>
      </c>
      <c r="C7" s="80" t="s">
        <v>46</v>
      </c>
      <c r="D7" s="80" t="s">
        <v>47</v>
      </c>
      <c r="E7" s="80" t="s">
        <v>48</v>
      </c>
      <c r="F7" s="80" t="s">
        <v>77</v>
      </c>
    </row>
    <row r="8" spans="1:7" s="23" customFormat="1" ht="31.5" customHeight="1" x14ac:dyDescent="0.3">
      <c r="A8" s="81">
        <f>'1.CÁLCULO CONSOLIDADO'!A9</f>
        <v>1</v>
      </c>
      <c r="B8" s="40" t="str">
        <f>'1.CÁLCULO CONSOLIDADO'!B9</f>
        <v>-</v>
      </c>
      <c r="C8" s="40" t="str">
        <f>'1.CÁLCULO CONSOLIDADO'!C9</f>
        <v>-</v>
      </c>
      <c r="D8" s="40" t="str">
        <f>'1.CÁLCULO CONSOLIDADO'!D9</f>
        <v>-</v>
      </c>
      <c r="E8" s="41">
        <f>'1.CÁLCULO CONSOLIDADO'!E9</f>
        <v>0</v>
      </c>
      <c r="F8" s="42">
        <f>'1.CÁLCULO CONSOLIDADO'!AG9</f>
        <v>0</v>
      </c>
    </row>
    <row r="9" spans="1:7" s="23" customFormat="1" ht="31.5" customHeight="1" x14ac:dyDescent="0.3">
      <c r="A9" s="81">
        <f>'1.CÁLCULO CONSOLIDADO'!A10</f>
        <v>2</v>
      </c>
      <c r="B9" s="40" t="str">
        <f>'1.CÁLCULO CONSOLIDADO'!B10</f>
        <v>-</v>
      </c>
      <c r="C9" s="40" t="str">
        <f>'1.CÁLCULO CONSOLIDADO'!C10</f>
        <v>-</v>
      </c>
      <c r="D9" s="40" t="str">
        <f>'1.CÁLCULO CONSOLIDADO'!D10</f>
        <v>-</v>
      </c>
      <c r="E9" s="41">
        <f>'1.CÁLCULO CONSOLIDADO'!E10</f>
        <v>0</v>
      </c>
      <c r="F9" s="42">
        <f>'1.CÁLCULO CONSOLIDADO'!AG10</f>
        <v>0</v>
      </c>
    </row>
    <row r="10" spans="1:7" s="23" customFormat="1" ht="31.5" customHeight="1" x14ac:dyDescent="0.3">
      <c r="A10" s="81">
        <f>'1.CÁLCULO CONSOLIDADO'!A11</f>
        <v>3</v>
      </c>
      <c r="B10" s="40" t="str">
        <f>'1.CÁLCULO CONSOLIDADO'!B11</f>
        <v>-</v>
      </c>
      <c r="C10" s="40" t="str">
        <f>'1.CÁLCULO CONSOLIDADO'!C11</f>
        <v>-</v>
      </c>
      <c r="D10" s="40" t="str">
        <f>'1.CÁLCULO CONSOLIDADO'!D11</f>
        <v>-</v>
      </c>
      <c r="E10" s="41">
        <f>'1.CÁLCULO CONSOLIDADO'!E11</f>
        <v>0</v>
      </c>
      <c r="F10" s="42">
        <f>'1.CÁLCULO CONSOLIDADO'!AG11</f>
        <v>0</v>
      </c>
    </row>
    <row r="11" spans="1:7" s="23" customFormat="1" ht="31.5" customHeight="1" x14ac:dyDescent="0.3">
      <c r="A11" s="81">
        <f>'1.CÁLCULO CONSOLIDADO'!A12</f>
        <v>4</v>
      </c>
      <c r="B11" s="40" t="str">
        <f>'1.CÁLCULO CONSOLIDADO'!B12</f>
        <v>-</v>
      </c>
      <c r="C11" s="40" t="str">
        <f>'1.CÁLCULO CONSOLIDADO'!C12</f>
        <v>-</v>
      </c>
      <c r="D11" s="40" t="str">
        <f>'1.CÁLCULO CONSOLIDADO'!D12</f>
        <v>-</v>
      </c>
      <c r="E11" s="41">
        <f>'1.CÁLCULO CONSOLIDADO'!E12</f>
        <v>0</v>
      </c>
      <c r="F11" s="42">
        <f>'1.CÁLCULO CONSOLIDADO'!AG12</f>
        <v>0</v>
      </c>
    </row>
    <row r="12" spans="1:7" s="23" customFormat="1" ht="31.5" customHeight="1" x14ac:dyDescent="0.3">
      <c r="A12" s="81">
        <f>'1.CÁLCULO CONSOLIDADO'!A13</f>
        <v>5</v>
      </c>
      <c r="B12" s="40" t="str">
        <f>'1.CÁLCULO CONSOLIDADO'!B13</f>
        <v>-</v>
      </c>
      <c r="C12" s="40" t="str">
        <f>'1.CÁLCULO CONSOLIDADO'!C13</f>
        <v>-</v>
      </c>
      <c r="D12" s="40" t="str">
        <f>'1.CÁLCULO CONSOLIDADO'!D13</f>
        <v>-</v>
      </c>
      <c r="E12" s="41">
        <f>'1.CÁLCULO CONSOLIDADO'!E13</f>
        <v>0</v>
      </c>
      <c r="F12" s="42">
        <f>'1.CÁLCULO CONSOLIDADO'!AG13</f>
        <v>0</v>
      </c>
    </row>
    <row r="13" spans="1:7" s="23" customFormat="1" ht="31.5" customHeight="1" x14ac:dyDescent="0.3">
      <c r="A13" s="81">
        <f>'1.CÁLCULO CONSOLIDADO'!A14</f>
        <v>6</v>
      </c>
      <c r="B13" s="40" t="str">
        <f>'1.CÁLCULO CONSOLIDADO'!B14</f>
        <v>-</v>
      </c>
      <c r="C13" s="40" t="str">
        <f>'1.CÁLCULO CONSOLIDADO'!C14</f>
        <v>-</v>
      </c>
      <c r="D13" s="40" t="str">
        <f>'1.CÁLCULO CONSOLIDADO'!D14</f>
        <v>-</v>
      </c>
      <c r="E13" s="41">
        <f>'1.CÁLCULO CONSOLIDADO'!E14</f>
        <v>0</v>
      </c>
      <c r="F13" s="42">
        <f>'1.CÁLCULO CONSOLIDADO'!AG14</f>
        <v>0</v>
      </c>
    </row>
    <row r="14" spans="1:7" s="23" customFormat="1" ht="31.5" customHeight="1" x14ac:dyDescent="0.3">
      <c r="A14" s="81">
        <f>'1.CÁLCULO CONSOLIDADO'!A15</f>
        <v>7</v>
      </c>
      <c r="B14" s="40" t="str">
        <f>'1.CÁLCULO CONSOLIDADO'!B15</f>
        <v>-</v>
      </c>
      <c r="C14" s="40" t="str">
        <f>'1.CÁLCULO CONSOLIDADO'!C15</f>
        <v>-</v>
      </c>
      <c r="D14" s="40" t="str">
        <f>'1.CÁLCULO CONSOLIDADO'!D15</f>
        <v>-</v>
      </c>
      <c r="E14" s="41">
        <f>'1.CÁLCULO CONSOLIDADO'!E15</f>
        <v>0</v>
      </c>
      <c r="F14" s="42">
        <f>'1.CÁLCULO CONSOLIDADO'!AG15</f>
        <v>0</v>
      </c>
    </row>
    <row r="15" spans="1:7" s="23" customFormat="1" ht="31.5" customHeight="1" x14ac:dyDescent="0.3">
      <c r="A15" s="81">
        <f>'1.CÁLCULO CONSOLIDADO'!A16</f>
        <v>8</v>
      </c>
      <c r="B15" s="40" t="str">
        <f>'1.CÁLCULO CONSOLIDADO'!B16</f>
        <v>-</v>
      </c>
      <c r="C15" s="40" t="str">
        <f>'1.CÁLCULO CONSOLIDADO'!C16</f>
        <v>-</v>
      </c>
      <c r="D15" s="40" t="str">
        <f>'1.CÁLCULO CONSOLIDADO'!D16</f>
        <v>-</v>
      </c>
      <c r="E15" s="41">
        <f>'1.CÁLCULO CONSOLIDADO'!E16</f>
        <v>0</v>
      </c>
      <c r="F15" s="42">
        <f>'1.CÁLCULO CONSOLIDADO'!AG16</f>
        <v>0</v>
      </c>
    </row>
    <row r="16" spans="1:7" s="23" customFormat="1" ht="31.5" customHeight="1" x14ac:dyDescent="0.3">
      <c r="A16" s="81">
        <f>'1.CÁLCULO CONSOLIDADO'!A17</f>
        <v>9</v>
      </c>
      <c r="B16" s="40" t="str">
        <f>'1.CÁLCULO CONSOLIDADO'!B17</f>
        <v>-</v>
      </c>
      <c r="C16" s="40" t="str">
        <f>'1.CÁLCULO CONSOLIDADO'!C17</f>
        <v>-</v>
      </c>
      <c r="D16" s="40" t="str">
        <f>'1.CÁLCULO CONSOLIDADO'!D17</f>
        <v>-</v>
      </c>
      <c r="E16" s="41">
        <f>'1.CÁLCULO CONSOLIDADO'!E17</f>
        <v>0</v>
      </c>
      <c r="F16" s="42">
        <f>'1.CÁLCULO CONSOLIDADO'!AG17</f>
        <v>0</v>
      </c>
    </row>
    <row r="17" spans="1:8" s="23" customFormat="1" ht="31.5" customHeight="1" x14ac:dyDescent="0.3">
      <c r="A17" s="81">
        <f>'1.CÁLCULO CONSOLIDADO'!A18</f>
        <v>10</v>
      </c>
      <c r="B17" s="40" t="str">
        <f>'1.CÁLCULO CONSOLIDADO'!B18</f>
        <v>-</v>
      </c>
      <c r="C17" s="40" t="str">
        <f>'1.CÁLCULO CONSOLIDADO'!C18</f>
        <v>-</v>
      </c>
      <c r="D17" s="40" t="str">
        <f>'1.CÁLCULO CONSOLIDADO'!D18</f>
        <v>-</v>
      </c>
      <c r="E17" s="41">
        <f>'1.CÁLCULO CONSOLIDADO'!E18</f>
        <v>0</v>
      </c>
      <c r="F17" s="42">
        <f>'1.CÁLCULO CONSOLIDADO'!AG18</f>
        <v>0</v>
      </c>
    </row>
    <row r="18" spans="1:8" s="24" customFormat="1" ht="19.2" customHeight="1" x14ac:dyDescent="0.3">
      <c r="A18" s="107" t="s">
        <v>49</v>
      </c>
      <c r="B18" s="108"/>
      <c r="C18" s="108"/>
      <c r="D18" s="108"/>
      <c r="E18" s="109"/>
      <c r="F18" s="37">
        <f>SUM(F8:F17)</f>
        <v>0</v>
      </c>
    </row>
    <row r="19" spans="1:8" x14ac:dyDescent="0.3">
      <c r="A19" s="82"/>
      <c r="B19" s="82"/>
      <c r="C19" s="82"/>
      <c r="D19" s="82"/>
      <c r="E19" s="82"/>
      <c r="F19" s="82"/>
      <c r="G19" s="82"/>
      <c r="H19" s="82"/>
    </row>
    <row r="20" spans="1:8" s="25" customFormat="1" ht="13.8" x14ac:dyDescent="0.3">
      <c r="A20" s="83" t="s">
        <v>11</v>
      </c>
      <c r="B20" s="83"/>
      <c r="C20" s="83"/>
      <c r="D20" s="83" t="s">
        <v>12</v>
      </c>
      <c r="E20" s="83" t="s">
        <v>13</v>
      </c>
      <c r="F20" s="83"/>
      <c r="G20" s="83"/>
      <c r="H20" s="83"/>
    </row>
    <row r="21" spans="1:8" s="25" customFormat="1" ht="54" customHeight="1" x14ac:dyDescent="0.3">
      <c r="A21" s="83"/>
      <c r="B21" s="83"/>
      <c r="C21" s="83"/>
      <c r="D21" s="83"/>
      <c r="E21" s="83"/>
      <c r="F21" s="83"/>
      <c r="G21" s="83"/>
      <c r="H21" s="83"/>
    </row>
    <row r="22" spans="1:8" s="25" customFormat="1" ht="13.8" x14ac:dyDescent="0.3">
      <c r="A22" s="83" t="s">
        <v>41</v>
      </c>
      <c r="B22" s="83"/>
      <c r="C22" s="83"/>
      <c r="D22" s="83" t="s">
        <v>41</v>
      </c>
      <c r="E22" s="84" t="s">
        <v>42</v>
      </c>
      <c r="F22" s="83"/>
      <c r="G22" s="83"/>
      <c r="H22" s="83"/>
    </row>
    <row r="23" spans="1:8" s="25" customFormat="1" ht="13.8" x14ac:dyDescent="0.3">
      <c r="A23" s="85" t="s">
        <v>27</v>
      </c>
      <c r="B23" s="83"/>
      <c r="C23" s="83"/>
      <c r="D23" s="85" t="s">
        <v>27</v>
      </c>
      <c r="E23" s="86" t="s">
        <v>50</v>
      </c>
      <c r="F23" s="83"/>
      <c r="G23" s="83"/>
      <c r="H23" s="83"/>
    </row>
    <row r="24" spans="1:8" x14ac:dyDescent="0.3">
      <c r="A24" s="83"/>
      <c r="B24" s="83"/>
      <c r="C24" s="83"/>
      <c r="D24" s="83"/>
      <c r="E24" s="83"/>
      <c r="F24" s="83"/>
      <c r="G24" s="83"/>
      <c r="H24" s="82"/>
    </row>
    <row r="25" spans="1:8" x14ac:dyDescent="0.3">
      <c r="A25" s="82"/>
      <c r="B25" s="82"/>
      <c r="C25" s="82"/>
      <c r="D25" s="82"/>
      <c r="E25" s="82"/>
      <c r="F25" s="82"/>
      <c r="G25" s="82"/>
      <c r="H25" s="82"/>
    </row>
    <row r="26" spans="1:8" x14ac:dyDescent="0.3">
      <c r="A26" s="82"/>
      <c r="B26" s="82"/>
      <c r="C26" s="82"/>
      <c r="D26" s="82"/>
      <c r="E26" s="82"/>
      <c r="F26" s="82"/>
      <c r="G26" s="82"/>
      <c r="H26" s="82"/>
    </row>
    <row r="27" spans="1:8" x14ac:dyDescent="0.3">
      <c r="A27" s="82"/>
      <c r="B27" s="82"/>
      <c r="C27" s="82"/>
      <c r="D27" s="82"/>
      <c r="E27" s="82"/>
      <c r="F27" s="82"/>
      <c r="G27" s="82"/>
      <c r="H27" s="82"/>
    </row>
  </sheetData>
  <sheetProtection algorithmName="SHA-512" hashValue="Any8g3pN0eNSzntebFz/kSRoDYpcfYAbkkGLzGs1CXkWi7ecliD6wNSW0coErdfOLtglx3BR/EwxPYYdenfuxg==" saltValue="pZlK0zvD0ywxxpzGsZiOzQ==" spinCount="100000"/>
  <mergeCells count="8">
    <mergeCell ref="A18:E18"/>
    <mergeCell ref="F3:F5"/>
    <mergeCell ref="C1:D1"/>
    <mergeCell ref="C2:D2"/>
    <mergeCell ref="C3:D3"/>
    <mergeCell ref="C4:D4"/>
    <mergeCell ref="E3:E5"/>
    <mergeCell ref="E1:F1"/>
  </mergeCells>
  <phoneticPr fontId="8" type="noConversion"/>
  <printOptions horizontalCentered="1"/>
  <pageMargins left="0.51181102362204722" right="0.51181102362204722" top="0.55118110236220474" bottom="0.55118110236220474" header="0.31496062992125984" footer="0.31496062992125984"/>
  <pageSetup paperSize="9" scale="9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70F68-9C96-4A96-B028-8DDFFD993C32}">
  <dimension ref="C3:E29"/>
  <sheetViews>
    <sheetView topLeftCell="A5" workbookViewId="0">
      <selection activeCell="E30" sqref="E30"/>
    </sheetView>
  </sheetViews>
  <sheetFormatPr baseColWidth="10" defaultRowHeight="14.4" x14ac:dyDescent="0.3"/>
  <cols>
    <col min="5" max="5" width="46.77734375" bestFit="1" customWidth="1"/>
  </cols>
  <sheetData>
    <row r="3" spans="3:5" x14ac:dyDescent="0.3">
      <c r="C3" t="s">
        <v>30</v>
      </c>
      <c r="D3">
        <v>2025</v>
      </c>
      <c r="E3" s="27" t="s">
        <v>51</v>
      </c>
    </row>
    <row r="4" spans="3:5" x14ac:dyDescent="0.3">
      <c r="C4" t="s">
        <v>31</v>
      </c>
      <c r="D4">
        <v>2026</v>
      </c>
      <c r="E4" s="27" t="s">
        <v>52</v>
      </c>
    </row>
    <row r="5" spans="3:5" x14ac:dyDescent="0.3">
      <c r="C5" t="s">
        <v>32</v>
      </c>
      <c r="D5">
        <v>2027</v>
      </c>
      <c r="E5" s="27" t="s">
        <v>53</v>
      </c>
    </row>
    <row r="6" spans="3:5" x14ac:dyDescent="0.3">
      <c r="C6" t="s">
        <v>33</v>
      </c>
      <c r="D6">
        <v>2028</v>
      </c>
      <c r="E6" s="27" t="s">
        <v>54</v>
      </c>
    </row>
    <row r="7" spans="3:5" x14ac:dyDescent="0.3">
      <c r="C7" t="s">
        <v>34</v>
      </c>
      <c r="D7">
        <v>2029</v>
      </c>
      <c r="E7" s="27" t="s">
        <v>55</v>
      </c>
    </row>
    <row r="8" spans="3:5" x14ac:dyDescent="0.3">
      <c r="C8" t="s">
        <v>28</v>
      </c>
      <c r="D8">
        <v>2030</v>
      </c>
      <c r="E8" s="27" t="s">
        <v>56</v>
      </c>
    </row>
    <row r="9" spans="3:5" x14ac:dyDescent="0.3">
      <c r="C9" t="s">
        <v>15</v>
      </c>
      <c r="D9">
        <v>2031</v>
      </c>
      <c r="E9" s="27" t="s">
        <v>57</v>
      </c>
    </row>
    <row r="10" spans="3:5" x14ac:dyDescent="0.3">
      <c r="C10" t="s">
        <v>35</v>
      </c>
      <c r="D10">
        <v>2032</v>
      </c>
      <c r="E10" s="27" t="s">
        <v>58</v>
      </c>
    </row>
    <row r="11" spans="3:5" x14ac:dyDescent="0.3">
      <c r="C11" t="s">
        <v>16</v>
      </c>
      <c r="D11">
        <v>2033</v>
      </c>
      <c r="E11" s="27" t="s">
        <v>59</v>
      </c>
    </row>
    <row r="12" spans="3:5" x14ac:dyDescent="0.3">
      <c r="C12" t="s">
        <v>17</v>
      </c>
      <c r="D12">
        <v>2034</v>
      </c>
      <c r="E12" s="27" t="s">
        <v>60</v>
      </c>
    </row>
    <row r="13" spans="3:5" x14ac:dyDescent="0.3">
      <c r="C13" t="s">
        <v>18</v>
      </c>
      <c r="D13">
        <v>2035</v>
      </c>
      <c r="E13" s="27" t="s">
        <v>61</v>
      </c>
    </row>
    <row r="14" spans="3:5" x14ac:dyDescent="0.3">
      <c r="C14" t="s">
        <v>36</v>
      </c>
      <c r="E14" s="27" t="s">
        <v>62</v>
      </c>
    </row>
    <row r="15" spans="3:5" x14ac:dyDescent="0.3">
      <c r="E15" s="27" t="s">
        <v>63</v>
      </c>
    </row>
    <row r="16" spans="3:5" x14ac:dyDescent="0.3">
      <c r="E16" s="27" t="s">
        <v>64</v>
      </c>
    </row>
    <row r="17" spans="5:5" x14ac:dyDescent="0.3">
      <c r="E17" s="27" t="s">
        <v>65</v>
      </c>
    </row>
    <row r="18" spans="5:5" x14ac:dyDescent="0.3">
      <c r="E18" s="27" t="s">
        <v>66</v>
      </c>
    </row>
    <row r="19" spans="5:5" x14ac:dyDescent="0.3">
      <c r="E19" s="27" t="s">
        <v>67</v>
      </c>
    </row>
    <row r="20" spans="5:5" x14ac:dyDescent="0.3">
      <c r="E20" s="27" t="s">
        <v>68</v>
      </c>
    </row>
    <row r="21" spans="5:5" x14ac:dyDescent="0.3">
      <c r="E21" s="27" t="s">
        <v>69</v>
      </c>
    </row>
    <row r="22" spans="5:5" x14ac:dyDescent="0.3">
      <c r="E22" s="27" t="s">
        <v>70</v>
      </c>
    </row>
    <row r="23" spans="5:5" x14ac:dyDescent="0.3">
      <c r="E23" s="27" t="s">
        <v>71</v>
      </c>
    </row>
    <row r="24" spans="5:5" x14ac:dyDescent="0.3">
      <c r="E24" s="27" t="s">
        <v>72</v>
      </c>
    </row>
    <row r="25" spans="5:5" x14ac:dyDescent="0.3">
      <c r="E25" s="27" t="s">
        <v>73</v>
      </c>
    </row>
    <row r="26" spans="5:5" x14ac:dyDescent="0.3">
      <c r="E26" s="27" t="s">
        <v>74</v>
      </c>
    </row>
    <row r="27" spans="5:5" x14ac:dyDescent="0.3">
      <c r="E27" s="27" t="s">
        <v>75</v>
      </c>
    </row>
    <row r="28" spans="5:5" x14ac:dyDescent="0.3">
      <c r="E28" s="27" t="s">
        <v>76</v>
      </c>
    </row>
    <row r="29" spans="5:5" x14ac:dyDescent="0.3">
      <c r="E29" s="27" t="s">
        <v>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583f38-6b34-4a53-b61a-9b0f1a768265">
      <Terms xmlns="http://schemas.microsoft.com/office/infopath/2007/PartnerControls"/>
    </lcf76f155ced4ddcb4097134ff3c332f>
    <TaxCatchAll xmlns="6fa7b9c8-75da-409b-8aa2-024bd3215a4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58503C180B79408DB858F3B1AC83A4" ma:contentTypeVersion="17" ma:contentTypeDescription="Create a new document." ma:contentTypeScope="" ma:versionID="f9f12f6bd98126fbd29bf543db87fd41">
  <xsd:schema xmlns:xsd="http://www.w3.org/2001/XMLSchema" xmlns:xs="http://www.w3.org/2001/XMLSchema" xmlns:p="http://schemas.microsoft.com/office/2006/metadata/properties" xmlns:ns2="51583f38-6b34-4a53-b61a-9b0f1a768265" xmlns:ns3="6fa7b9c8-75da-409b-8aa2-024bd3215a4c" targetNamespace="http://schemas.microsoft.com/office/2006/metadata/properties" ma:root="true" ma:fieldsID="b56b57f6d733b2051704b18ac720fea8" ns2:_="" ns3:_="">
    <xsd:import namespace="51583f38-6b34-4a53-b61a-9b0f1a768265"/>
    <xsd:import namespace="6fa7b9c8-75da-409b-8aa2-024bd3215a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83f38-6b34-4a53-b61a-9b0f1a7682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ed24c46a-b909-48e7-9981-7bfb7d9e87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a7b9c8-75da-409b-8aa2-024bd3215a4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b71515e-653e-44d8-be88-bc38976a3819}" ma:internalName="TaxCatchAll" ma:showField="CatchAllData" ma:web="6fa7b9c8-75da-409b-8aa2-024bd3215a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6ADE2A-7E96-4769-9FD3-8DC26B322F75}">
  <ds:schemaRefs>
    <ds:schemaRef ds:uri="http://schemas.microsoft.com/office/2006/metadata/properties"/>
    <ds:schemaRef ds:uri="http://schemas.microsoft.com/office/infopath/2007/PartnerControls"/>
    <ds:schemaRef ds:uri="3e229c51-929f-48b9-bf93-5337f11f965b"/>
    <ds:schemaRef ds:uri="4e8ea547-c28b-4d8b-b2f5-628db7de86d9"/>
  </ds:schemaRefs>
</ds:datastoreItem>
</file>

<file path=customXml/itemProps2.xml><?xml version="1.0" encoding="utf-8"?>
<ds:datastoreItem xmlns:ds="http://schemas.openxmlformats.org/officeDocument/2006/customXml" ds:itemID="{CC959AE0-3D3D-493D-9DF7-3477EFEFCBCD}"/>
</file>

<file path=customXml/itemProps3.xml><?xml version="1.0" encoding="utf-8"?>
<ds:datastoreItem xmlns:ds="http://schemas.openxmlformats.org/officeDocument/2006/customXml" ds:itemID="{F28F8388-47DA-42D8-AA73-C9E0867008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1.CÁLCULO CONSOLIDADO</vt:lpstr>
      <vt:lpstr>2.ROL DE PAGO</vt:lpstr>
      <vt:lpstr>DATOS</vt:lpstr>
      <vt:lpstr>'1.CÁLCULO CONSOLIDADO'!Área_de_impresión</vt:lpstr>
      <vt:lpstr>'2.ROL DE PAGO'!Área_de_impresión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Elizabeth Terán Cajas</dc:creator>
  <cp:lastModifiedBy>Marco Elías Echeverría Arciniegas</cp:lastModifiedBy>
  <cp:lastPrinted>2025-02-20T20:39:29Z</cp:lastPrinted>
  <dcterms:created xsi:type="dcterms:W3CDTF">2022-12-22T17:07:41Z</dcterms:created>
  <dcterms:modified xsi:type="dcterms:W3CDTF">2025-05-08T17:50:52Z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0x0101000758503C180B79408DB858F3B1AC83A4</vt:lpwstr>
  </property>
  <property fmtid="{D5CDD505-2E9C-101B-9397-08002B2CF9AE}" pid="3" name="MediaServiceImageTags">
    <vt:lpwstr/>
  </property>
</Properties>
</file>