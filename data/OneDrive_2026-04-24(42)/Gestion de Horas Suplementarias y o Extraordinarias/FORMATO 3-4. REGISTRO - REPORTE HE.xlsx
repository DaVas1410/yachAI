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yachaytecheduec.sharepoint.com/sites/calidad/repo_doc/drc_est/proinst/Borradores/Gestión Talento Humano/Pago horas extras/FORMATOS/"/>
    </mc:Choice>
  </mc:AlternateContent>
  <xr:revisionPtr revIDLastSave="0" documentId="14_{914CADD8-AB7E-4326-8B58-8900E7C8D8F6}" xr6:coauthVersionLast="47" xr6:coauthVersionMax="47" xr10:uidLastSave="{00000000-0000-0000-0000-000000000000}"/>
  <bookViews>
    <workbookView xWindow="-108" yWindow="-108" windowWidth="23256" windowHeight="12456" firstSheet="1" activeTab="1" xr2:uid="{9344935A-C324-478F-945D-3594D430BA47}"/>
  </bookViews>
  <sheets>
    <sheet name="1. REGISTRO DE ACTIVIDADES" sheetId="4" r:id="rId1"/>
    <sheet name="2. REPORTE MENSUAL " sheetId="1" r:id="rId2"/>
    <sheet name="Hoja2" sheetId="2" state="hidden" r:id="rId3"/>
  </sheets>
  <definedNames>
    <definedName name="_xlnm.Print_Area" localSheetId="0">'1. REGISTRO DE ACTIVIDADES'!$A$1:$N$29</definedName>
    <definedName name="_xlnm.Print_Area" localSheetId="1">'2. REPORTE MENSUAL '!$A$1:$L$30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14" i="1"/>
  <c r="C14" i="1" s="1"/>
  <c r="K14" i="1" s="1"/>
  <c r="B15" i="1"/>
  <c r="C15" i="1" s="1"/>
  <c r="K15" i="1" s="1"/>
  <c r="B16" i="1"/>
  <c r="C16" i="1" s="1"/>
  <c r="K16" i="1" s="1"/>
  <c r="B17" i="1"/>
  <c r="C17" i="1" s="1"/>
  <c r="K17" i="1" s="1"/>
  <c r="B18" i="1"/>
  <c r="C18" i="1" s="1"/>
  <c r="K18" i="1" s="1"/>
  <c r="B19" i="1"/>
  <c r="C19" i="1" s="1"/>
  <c r="K19" i="1" s="1"/>
  <c r="B20" i="1"/>
  <c r="C20" i="1" s="1"/>
  <c r="K20" i="1" s="1"/>
  <c r="B21" i="1"/>
  <c r="C21" i="1" s="1"/>
  <c r="K21" i="1" s="1"/>
  <c r="B22" i="1"/>
  <c r="C22" i="1" s="1"/>
  <c r="K22" i="1" s="1"/>
  <c r="B23" i="1"/>
  <c r="C23" i="1" s="1"/>
  <c r="K23" i="1" s="1"/>
  <c r="B24" i="1"/>
  <c r="C24" i="1" s="1"/>
  <c r="K24" i="1" s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B10" i="1"/>
  <c r="C10" i="1" s="1"/>
  <c r="G10" i="1"/>
  <c r="B11" i="1"/>
  <c r="C11" i="1" s="1"/>
  <c r="K11" i="1" s="1"/>
  <c r="B12" i="1"/>
  <c r="C12" i="1" s="1"/>
  <c r="B13" i="1"/>
  <c r="C13" i="1" s="1"/>
  <c r="K13" i="1" s="1"/>
  <c r="A24" i="1"/>
  <c r="L24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L22" i="1"/>
  <c r="L23" i="1"/>
  <c r="A10" i="1"/>
  <c r="H10" i="1"/>
  <c r="J6" i="1"/>
  <c r="C6" i="1"/>
  <c r="K5" i="1"/>
  <c r="E5" i="1"/>
  <c r="D4" i="1"/>
  <c r="C4" i="1"/>
  <c r="K12" i="1" l="1"/>
  <c r="K10" i="1"/>
  <c r="I24" i="1"/>
  <c r="J24" i="1" s="1"/>
  <c r="I23" i="1"/>
  <c r="J23" i="1" s="1"/>
  <c r="I22" i="1"/>
  <c r="J22" i="1" s="1"/>
  <c r="I21" i="1"/>
  <c r="J21" i="1" s="1"/>
  <c r="I20" i="1"/>
  <c r="J20" i="1" s="1"/>
  <c r="L17" i="1"/>
  <c r="L18" i="1"/>
  <c r="L19" i="1"/>
  <c r="L20" i="1"/>
  <c r="L21" i="1"/>
  <c r="L10" i="1"/>
  <c r="L11" i="1"/>
  <c r="L12" i="1"/>
  <c r="L13" i="1"/>
  <c r="L14" i="1"/>
  <c r="L15" i="1"/>
  <c r="K25" i="1" l="1"/>
  <c r="I18" i="1"/>
  <c r="J18" i="1" s="1"/>
  <c r="I14" i="1"/>
  <c r="I15" i="1"/>
  <c r="J15" i="1" s="1"/>
  <c r="I12" i="1" l="1"/>
  <c r="J12" i="1" s="1"/>
  <c r="I10" i="1"/>
  <c r="J10" i="1" s="1"/>
  <c r="I11" i="1"/>
  <c r="J11" i="1" s="1"/>
  <c r="I13" i="1"/>
  <c r="J13" i="1" s="1"/>
  <c r="I19" i="1"/>
  <c r="J19" i="1" s="1"/>
  <c r="I17" i="1"/>
  <c r="J17" i="1" s="1"/>
  <c r="J14" i="1"/>
  <c r="L16" i="1"/>
  <c r="I16" i="1"/>
  <c r="J16" i="1" s="1"/>
  <c r="J25" i="1" l="1"/>
  <c r="J26" i="1" l="1"/>
  <c r="L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SYLVIA MIREYA RIPALDA PROAÑO</author>
  </authors>
  <commentList>
    <comment ref="E8" authorId="0" shapeId="0" xr:uid="{E07455EE-E8C7-4B6B-AC92-AF9354711F59}">
      <text>
        <r>
          <rPr>
            <b/>
            <sz val="8"/>
            <color indexed="81"/>
            <rFont val="Tahoma"/>
            <family val="2"/>
          </rPr>
          <t>SI ES FIN DE SEMANA O FERIADO LA JORNADA LABORAL APROBADA ES IGUAL A "0:00"</t>
        </r>
      </text>
    </comment>
  </commentList>
</comments>
</file>

<file path=xl/sharedStrings.xml><?xml version="1.0" encoding="utf-8"?>
<sst xmlns="http://schemas.openxmlformats.org/spreadsheetml/2006/main" count="128" uniqueCount="106">
  <si>
    <t>UNIVERSIDAD DE INVESTIGACIÓN DE TECNOLOGÍA EXPERIMENTAL YACHAY</t>
  </si>
  <si>
    <r>
      <t xml:space="preserve">Código: </t>
    </r>
    <r>
      <rPr>
        <sz val="8"/>
        <color theme="1"/>
        <rFont val="Arial"/>
        <family val="2"/>
      </rPr>
      <t>GTH-DGTH-PRD-003-FO-003</t>
    </r>
  </si>
  <si>
    <t>REGISTRO MENSUAL DE ACTIVIDADES FUERA DE LA JORNADA LABORAL</t>
  </si>
  <si>
    <t>Mes:</t>
  </si>
  <si>
    <t>Año:</t>
  </si>
  <si>
    <t>Régimen Laboral:</t>
  </si>
  <si>
    <t>Apellidos y Nombres del Servidor o Trabajador:</t>
  </si>
  <si>
    <t>No. Identificación:</t>
  </si>
  <si>
    <t>Unidad Administrativa:</t>
  </si>
  <si>
    <t>Cargo:</t>
  </si>
  <si>
    <t>No.</t>
  </si>
  <si>
    <t>FECHA</t>
  </si>
  <si>
    <t>HORA ENTRADA</t>
  </si>
  <si>
    <t>HORA SALIDA ALMUERZO</t>
  </si>
  <si>
    <t>HORA ENTRADA ALMUERZO</t>
  </si>
  <si>
    <t>HORA SALIDA</t>
  </si>
  <si>
    <t>ACTIVIDAD AUTORIZADA FUERA DE LA JORNADA LABORAL
(Detallar la actividad realizada)</t>
  </si>
  <si>
    <t>OBSERVACIÓN</t>
  </si>
  <si>
    <t>dd/mmm/aaaa</t>
  </si>
  <si>
    <t>hh:mm</t>
  </si>
  <si>
    <t xml:space="preserve">elaborar memos </t>
  </si>
  <si>
    <t xml:space="preserve">ninguna </t>
  </si>
  <si>
    <t>-</t>
  </si>
  <si>
    <t>Elaborado por:</t>
  </si>
  <si>
    <t>Revisado y Aprobado por:</t>
  </si>
  <si>
    <t>Nombre del Servidor Público</t>
  </si>
  <si>
    <t>Nombre Jefe Inmediato</t>
  </si>
  <si>
    <t>Cargo</t>
  </si>
  <si>
    <r>
      <t xml:space="preserve">Código: </t>
    </r>
    <r>
      <rPr>
        <sz val="8"/>
        <color theme="1"/>
        <rFont val="Arial"/>
        <family val="2"/>
      </rPr>
      <t>GTH-DGTH-PRD-003-FO-004</t>
    </r>
  </si>
  <si>
    <t>REPORTE MENSUAL DE HORAS SUPLEMENTARIAS Y EXTRAORDINARIAS</t>
  </si>
  <si>
    <t>MES - AÑO EJECUTADO:</t>
  </si>
  <si>
    <t>RÉGIMEN LABORAL:</t>
  </si>
  <si>
    <t>FECHA ELABORACIÓN DE REPORTE:</t>
  </si>
  <si>
    <t>APELLIDOS Y NOMBRES DEL SERVIDOR O TRABAJADOR:</t>
  </si>
  <si>
    <t>NÚMERO DE IDENTIFICACIÓN:</t>
  </si>
  <si>
    <t>UNIDAD ADMINISTRATIVA:</t>
  </si>
  <si>
    <t>CARGO:</t>
  </si>
  <si>
    <t>NRO.</t>
  </si>
  <si>
    <t>FECHA GENERA HORAS EXTRAS</t>
  </si>
  <si>
    <t>DÍA</t>
  </si>
  <si>
    <t>DÍA FERIADO</t>
  </si>
  <si>
    <t>JORNADA LABORAL APROBADA</t>
  </si>
  <si>
    <t>HORAS EFECTUADAS</t>
  </si>
  <si>
    <t>HORAS SUPLEMENTARIAS
(Hasta 12 horas a la semana)</t>
  </si>
  <si>
    <t>HORAS EXTRAORDINARIAS
(Fin de semana y feriados)</t>
  </si>
  <si>
    <t>TRABAJO EFECTUADO
(Posterior a la jornada laboral)</t>
  </si>
  <si>
    <t>SI / NO</t>
  </si>
  <si>
    <t>HORA INICIO
(Ej. 08:00)</t>
  </si>
  <si>
    <t>HORA SALIDA
(Ej. 16:30)</t>
  </si>
  <si>
    <t>HORA INICIO</t>
  </si>
  <si>
    <t>HORA FIN</t>
  </si>
  <si>
    <t>HORAS CALCULADAS</t>
  </si>
  <si>
    <t>HORAS AJUSTADAS (Hasta 4 horas diarias)</t>
  </si>
  <si>
    <t>NO</t>
  </si>
  <si>
    <t>SUBTOTALES</t>
  </si>
  <si>
    <t>TOTAL GENERAL ENTRE
SUPLEMENTARIAS Y EXTRAORDIANRIAS</t>
  </si>
  <si>
    <t>Aprobado por:</t>
  </si>
  <si>
    <t>Nombre del Jefe Inmediato</t>
  </si>
  <si>
    <t>Jefe Inmediato</t>
  </si>
  <si>
    <t>MESES</t>
  </si>
  <si>
    <t>AÑOS</t>
  </si>
  <si>
    <t>REGIMEN</t>
  </si>
  <si>
    <t>FERIADO</t>
  </si>
  <si>
    <t>JORNADAS</t>
  </si>
  <si>
    <t>ENERO</t>
  </si>
  <si>
    <t>CÓDIGO DE TRABAJO</t>
  </si>
  <si>
    <t>Coordinación General Administrativa Financiera</t>
  </si>
  <si>
    <t>SI</t>
  </si>
  <si>
    <t>FEBRERO</t>
  </si>
  <si>
    <t>LOSEP</t>
  </si>
  <si>
    <t>Dirección de Relaciones Internacionales</t>
  </si>
  <si>
    <t>MARZO</t>
  </si>
  <si>
    <t>Dirección de Acreditación y Aseguramiento de la Calidad</t>
  </si>
  <si>
    <t>ABRIL</t>
  </si>
  <si>
    <t>Dirección de Bibliotecas</t>
  </si>
  <si>
    <t>MAYO</t>
  </si>
  <si>
    <t>Dirección de Comunicación y Promoción</t>
  </si>
  <si>
    <t>JUNIO</t>
  </si>
  <si>
    <t>Dirección de Idiomas</t>
  </si>
  <si>
    <t>JULIO</t>
  </si>
  <si>
    <t>Dirección de Vinculación con la Sociedad</t>
  </si>
  <si>
    <t>AGOSTO</t>
  </si>
  <si>
    <t>Dirección General Administrativa</t>
  </si>
  <si>
    <t>SEPTIEMBRE</t>
  </si>
  <si>
    <t>Dirección General de Bienestar Universitario</t>
  </si>
  <si>
    <t>OCTUBRE</t>
  </si>
  <si>
    <t>Dirección General de Investigación e Innovación</t>
  </si>
  <si>
    <t>NOVIEMBRE</t>
  </si>
  <si>
    <t>Dirección General de Planificación y Procesos</t>
  </si>
  <si>
    <t>DICIEMBRE</t>
  </si>
  <si>
    <t>Dirección General de Posgrados</t>
  </si>
  <si>
    <t>Dirección General de Servicios Académicos</t>
  </si>
  <si>
    <t>Dirección General de Talento Humano</t>
  </si>
  <si>
    <t>Dirección General de Tecnologías de la Información y Comunicaciones</t>
  </si>
  <si>
    <t>Dirección General Financiera</t>
  </si>
  <si>
    <t>Dirección General Jurídica</t>
  </si>
  <si>
    <t>Escuela de Ciencias Agropecuarias y Agroindustriales</t>
  </si>
  <si>
    <t>Escuela de Ciencias Biológicas e Ingeniería</t>
  </si>
  <si>
    <t>Escuela de Ciencias de la Tierra, Energía y Ambiente</t>
  </si>
  <si>
    <t>Escuela de Ciencias Físicas y Nanotecnología</t>
  </si>
  <si>
    <t>Escuela de Ciencias Matemáticas y Computacionales</t>
  </si>
  <si>
    <t>Escuela de Ciencias Químicas e Ingeniería</t>
  </si>
  <si>
    <t>Rectorado</t>
  </si>
  <si>
    <t>Secretaria General</t>
  </si>
  <si>
    <t>Vicerrectorado Académico</t>
  </si>
  <si>
    <t>Vicerrectorado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</si>
</sst>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300A]dddd\,\ dd/mmm/yyyy"/>
    <numFmt numFmtId="165" formatCode="d/mmm/yyyy"/>
    <numFmt numFmtId="166" formatCode="0.0000000000000"/>
    <numFmt numFmtId="167" formatCode="[$-F400]h:mm:ss\ AM/PM"/>
    <numFmt numFmtId="168" formatCode="[h]:mm"/>
    <numFmt numFmtId="169" formatCode="0.000000"/>
    <numFmt numFmtId="170" formatCode="0.0000000000"/>
  </numFmts>
  <fonts count="2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8"/>
      <color rgb="FF000000"/>
      <name val="Arial"/>
      <family val="2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name val="Aptos Narrow"/>
      <family val="2"/>
      <scheme val="minor"/>
    </font>
    <font>
      <b/>
      <sz val="9"/>
      <name val="Arial"/>
      <family val="2"/>
    </font>
    <font>
      <b/>
      <sz val="8"/>
      <name val="Arial"/>
      <family val="2"/>
    </font>
    <font>
      <b/>
      <i/>
      <sz val="8"/>
      <color rgb="FF002060"/>
      <name val="Arial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22628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3" fillId="0" borderId="0"/>
  </cellStyleXfs>
  <cellXfs count="13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4" fillId="0" borderId="0" xfId="0" applyFont="1"/>
    <xf numFmtId="0" fontId="10" fillId="0" borderId="0" xfId="0" applyFont="1"/>
    <xf numFmtId="20" fontId="3" fillId="0" borderId="0" xfId="0" applyNumberFormat="1" applyFont="1"/>
    <xf numFmtId="166" fontId="3" fillId="0" borderId="0" xfId="0" applyNumberFormat="1" applyFont="1"/>
    <xf numFmtId="46" fontId="3" fillId="0" borderId="0" xfId="0" applyNumberFormat="1" applyFont="1"/>
    <xf numFmtId="167" fontId="3" fillId="0" borderId="0" xfId="0" applyNumberFormat="1" applyFont="1"/>
    <xf numFmtId="168" fontId="2" fillId="0" borderId="19" xfId="0" applyNumberFormat="1" applyFont="1" applyBorder="1" applyAlignment="1">
      <alignment horizontal="center" vertical="center"/>
    </xf>
    <xf numFmtId="169" fontId="3" fillId="0" borderId="0" xfId="0" applyNumberFormat="1" applyFont="1"/>
    <xf numFmtId="168" fontId="3" fillId="0" borderId="0" xfId="0" applyNumberFormat="1" applyFont="1"/>
    <xf numFmtId="168" fontId="0" fillId="0" borderId="0" xfId="0" applyNumberFormat="1"/>
    <xf numFmtId="170" fontId="3" fillId="0" borderId="0" xfId="0" applyNumberFormat="1" applyFont="1"/>
    <xf numFmtId="168" fontId="2" fillId="3" borderId="1" xfId="0" applyNumberFormat="1" applyFont="1" applyFill="1" applyBorder="1" applyAlignment="1" applyProtection="1">
      <alignment horizontal="center" vertical="center"/>
      <protection hidden="1"/>
    </xf>
    <xf numFmtId="49" fontId="16" fillId="0" borderId="12" xfId="0" applyNumberFormat="1" applyFont="1" applyBorder="1" applyAlignment="1" applyProtection="1">
      <alignment horizontal="left" vertical="center" wrapText="1"/>
      <protection locked="0"/>
    </xf>
    <xf numFmtId="164" fontId="12" fillId="0" borderId="1" xfId="0" applyNumberFormat="1" applyFont="1" applyBorder="1" applyAlignment="1" applyProtection="1">
      <alignment horizontal="center" vertical="center" shrinkToFit="1"/>
      <protection locked="0"/>
    </xf>
    <xf numFmtId="20" fontId="12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64" fontId="12" fillId="0" borderId="14" xfId="0" applyNumberFormat="1" applyFont="1" applyBorder="1" applyAlignment="1" applyProtection="1">
      <alignment horizontal="center" vertical="center" shrinkToFit="1"/>
      <protection locked="0"/>
    </xf>
    <xf numFmtId="20" fontId="12" fillId="0" borderId="14" xfId="0" applyNumberFormat="1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20" xfId="0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17" fillId="3" borderId="9" xfId="0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hidden="1"/>
    </xf>
    <xf numFmtId="15" fontId="3" fillId="3" borderId="1" xfId="0" applyNumberFormat="1" applyFont="1" applyFill="1" applyBorder="1" applyAlignment="1" applyProtection="1">
      <alignment horizontal="center" vertical="center"/>
      <protection hidden="1"/>
    </xf>
    <xf numFmtId="20" fontId="3" fillId="0" borderId="1" xfId="0" applyNumberFormat="1" applyFont="1" applyBorder="1" applyAlignment="1" applyProtection="1">
      <alignment horizontal="center" vertical="center"/>
      <protection locked="0"/>
    </xf>
    <xf numFmtId="168" fontId="3" fillId="0" borderId="1" xfId="0" applyNumberFormat="1" applyFont="1" applyBorder="1" applyAlignment="1" applyProtection="1">
      <alignment horizontal="center" vertical="center"/>
      <protection locked="0"/>
    </xf>
    <xf numFmtId="168" fontId="3" fillId="3" borderId="1" xfId="0" applyNumberFormat="1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left" vertical="center" wrapText="1"/>
      <protection hidden="1"/>
    </xf>
    <xf numFmtId="20" fontId="18" fillId="0" borderId="0" xfId="0" applyNumberFormat="1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locked="0"/>
    </xf>
    <xf numFmtId="0" fontId="3" fillId="0" borderId="20" xfId="0" applyFont="1" applyBorder="1" applyAlignment="1" applyProtection="1">
      <alignment vertical="center"/>
      <protection locked="0"/>
    </xf>
    <xf numFmtId="0" fontId="3" fillId="0" borderId="20" xfId="0" applyFont="1" applyBorder="1" applyProtection="1"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165" fontId="17" fillId="2" borderId="10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4" fillId="4" borderId="1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vertical="top" wrapText="1"/>
    </xf>
    <xf numFmtId="0" fontId="7" fillId="0" borderId="3" xfId="0" applyFont="1" applyBorder="1"/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/>
    </xf>
    <xf numFmtId="0" fontId="12" fillId="0" borderId="1" xfId="0" applyFont="1" applyBorder="1" applyAlignment="1" applyProtection="1">
      <alignment horizontal="left" vertical="center" wrapText="1"/>
      <protection locked="0"/>
    </xf>
    <xf numFmtId="0" fontId="12" fillId="0" borderId="12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left" vertical="center" wrapText="1"/>
      <protection locked="0"/>
    </xf>
    <xf numFmtId="0" fontId="12" fillId="0" borderId="15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1" fillId="4" borderId="9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9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16" fillId="0" borderId="14" xfId="0" applyFont="1" applyBorder="1" applyAlignment="1" applyProtection="1">
      <alignment horizontal="left" vertical="center" wrapText="1"/>
      <protection locked="0"/>
    </xf>
    <xf numFmtId="0" fontId="16" fillId="0" borderId="15" xfId="0" applyFont="1" applyBorder="1" applyAlignment="1" applyProtection="1">
      <alignment horizontal="left" vertical="center" wrapText="1"/>
      <protection locked="0"/>
    </xf>
    <xf numFmtId="0" fontId="9" fillId="4" borderId="8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0" borderId="21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168" fontId="7" fillId="0" borderId="22" xfId="0" applyNumberFormat="1" applyFont="1" applyBorder="1" applyAlignment="1">
      <alignment horizontal="center" vertical="center"/>
    </xf>
    <xf numFmtId="168" fontId="7" fillId="0" borderId="24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4" fillId="4" borderId="8" xfId="0" applyNumberFormat="1" applyFont="1" applyFill="1" applyBorder="1" applyAlignment="1">
      <alignment horizontal="center" vertical="center"/>
    </xf>
    <xf numFmtId="49" fontId="4" fillId="4" borderId="9" xfId="0" applyNumberFormat="1" applyFont="1" applyFill="1" applyBorder="1" applyAlignment="1">
      <alignment horizontal="center" vertical="center"/>
    </xf>
    <xf numFmtId="0" fontId="17" fillId="3" borderId="25" xfId="0" applyFont="1" applyFill="1" applyBorder="1" applyAlignment="1" applyProtection="1">
      <alignment horizontal="left" vertical="center"/>
      <protection hidden="1"/>
    </xf>
    <xf numFmtId="0" fontId="17" fillId="3" borderId="26" xfId="0" applyFont="1" applyFill="1" applyBorder="1" applyAlignment="1" applyProtection="1">
      <alignment horizontal="left" vertical="center"/>
      <protection hidden="1"/>
    </xf>
    <xf numFmtId="49" fontId="4" fillId="4" borderId="11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7" fillId="3" borderId="1" xfId="0" applyFont="1" applyFill="1" applyBorder="1" applyAlignment="1" applyProtection="1">
      <alignment horizontal="left" vertical="center"/>
      <protection hidden="1"/>
    </xf>
    <xf numFmtId="0" fontId="2" fillId="3" borderId="14" xfId="0" applyFont="1" applyFill="1" applyBorder="1" applyAlignment="1" applyProtection="1">
      <alignment horizontal="left" vertical="center"/>
      <protection hidden="1"/>
    </xf>
    <xf numFmtId="49" fontId="2" fillId="3" borderId="17" xfId="0" applyNumberFormat="1" applyFont="1" applyFill="1" applyBorder="1" applyAlignment="1" applyProtection="1">
      <alignment horizontal="left" vertical="center"/>
      <protection hidden="1"/>
    </xf>
    <xf numFmtId="49" fontId="2" fillId="3" borderId="30" xfId="0" applyNumberFormat="1" applyFont="1" applyFill="1" applyBorder="1" applyAlignment="1" applyProtection="1">
      <alignment horizontal="left" vertical="center"/>
      <protection hidden="1"/>
    </xf>
    <xf numFmtId="0" fontId="17" fillId="3" borderId="27" xfId="0" applyFont="1" applyFill="1" applyBorder="1" applyAlignment="1" applyProtection="1">
      <alignment horizontal="left" vertical="center"/>
      <protection hidden="1"/>
    </xf>
    <xf numFmtId="0" fontId="17" fillId="3" borderId="28" xfId="0" applyFont="1" applyFill="1" applyBorder="1" applyAlignment="1" applyProtection="1">
      <alignment horizontal="left" vertical="center"/>
      <protection hidden="1"/>
    </xf>
    <xf numFmtId="0" fontId="17" fillId="3" borderId="31" xfId="0" applyFont="1" applyFill="1" applyBorder="1" applyAlignment="1" applyProtection="1">
      <alignment horizontal="left" vertical="center"/>
      <protection hidden="1"/>
    </xf>
    <xf numFmtId="0" fontId="4" fillId="4" borderId="2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49" fontId="4" fillId="4" borderId="32" xfId="0" applyNumberFormat="1" applyFont="1" applyFill="1" applyBorder="1" applyAlignment="1">
      <alignment horizontal="center" vertical="center"/>
    </xf>
    <xf numFmtId="49" fontId="4" fillId="4" borderId="29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4" xfId="1" xr:uid="{B99C0F74-758A-4E45-BFA7-1E9C400AE2F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2262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</xdr:colOff>
      <xdr:row>0</xdr:row>
      <xdr:rowOff>22860</xdr:rowOff>
    </xdr:from>
    <xdr:to>
      <xdr:col>2</xdr:col>
      <xdr:colOff>632460</xdr:colOff>
      <xdr:row>1</xdr:row>
      <xdr:rowOff>329074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3F663F1-EE35-49DA-B74E-CBCF6C5F0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" y="22860"/>
          <a:ext cx="2255521" cy="5652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20782</xdr:colOff>
      <xdr:row>0</xdr:row>
      <xdr:rowOff>20781</xdr:rowOff>
    </xdr:from>
    <xdr:to>
      <xdr:col>2</xdr:col>
      <xdr:colOff>436419</xdr:colOff>
      <xdr:row>1</xdr:row>
      <xdr:rowOff>306084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B50327-33A5-40F0-9884-8463C358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82" y="20781"/>
          <a:ext cx="2050473" cy="513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BDA5-4BEA-4B6F-8D39-E4C0316D88CB}">
  <sheetPr>
    <pageSetUpPr fitToPage="1"/>
  </sheetPr>
  <dimension ref="A1:N33"/>
  <sheetViews>
    <sheetView showGridLines="0" zoomScaleNormal="100" workbookViewId="0">
      <selection activeCell="D2" sqref="D2:M2"/>
    </sheetView>
  </sheetViews>
  <sheetFormatPr defaultColWidth="11.5703125" defaultRowHeight="14.45"/>
  <cols>
    <col min="1" max="1" width="4.140625" style="7" customWidth="1"/>
    <col min="2" max="2" width="19.7109375" style="11" customWidth="1"/>
    <col min="3" max="3" width="9.5703125" style="11" customWidth="1"/>
    <col min="4" max="6" width="10.7109375" style="11" customWidth="1"/>
    <col min="7" max="7" width="11.5703125" style="7"/>
    <col min="8" max="8" width="13.7109375" style="7" customWidth="1"/>
    <col min="9" max="9" width="8.85546875" style="7" customWidth="1"/>
    <col min="10" max="12" width="11.5703125" style="7"/>
    <col min="13" max="13" width="13.7109375" style="7" customWidth="1"/>
    <col min="14" max="14" width="31" style="7" customWidth="1"/>
    <col min="15" max="16384" width="11.5703125" style="7"/>
  </cols>
  <sheetData>
    <row r="1" spans="1:14" ht="20.45" customHeight="1">
      <c r="A1" s="60"/>
      <c r="B1" s="58"/>
      <c r="C1" s="58"/>
      <c r="D1" s="83" t="s">
        <v>0</v>
      </c>
      <c r="E1" s="83"/>
      <c r="F1" s="83"/>
      <c r="G1" s="83"/>
      <c r="H1" s="83"/>
      <c r="I1" s="83"/>
      <c r="J1" s="83"/>
      <c r="K1" s="83"/>
      <c r="L1" s="83"/>
      <c r="M1" s="83"/>
      <c r="N1" s="69" t="s">
        <v>1</v>
      </c>
    </row>
    <row r="2" spans="1:14" ht="27" customHeight="1" thickBot="1">
      <c r="A2" s="61"/>
      <c r="B2" s="59"/>
      <c r="C2" s="59"/>
      <c r="D2" s="82" t="s">
        <v>2</v>
      </c>
      <c r="E2" s="82"/>
      <c r="F2" s="82"/>
      <c r="G2" s="82"/>
      <c r="H2" s="82"/>
      <c r="I2" s="82"/>
      <c r="J2" s="82"/>
      <c r="K2" s="82"/>
      <c r="L2" s="82"/>
      <c r="M2" s="82"/>
      <c r="N2" s="65"/>
    </row>
    <row r="3" spans="1:14" ht="13.15" customHeight="1" thickBo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14.45" customHeight="1">
      <c r="A4" s="93" t="s">
        <v>3</v>
      </c>
      <c r="B4" s="88"/>
      <c r="C4" s="87"/>
      <c r="D4" s="87"/>
      <c r="E4" s="55" t="s">
        <v>4</v>
      </c>
      <c r="F4" s="87"/>
      <c r="G4" s="87"/>
      <c r="H4" s="88" t="s">
        <v>5</v>
      </c>
      <c r="I4" s="88"/>
      <c r="J4" s="95"/>
      <c r="K4" s="95"/>
      <c r="L4" s="95"/>
      <c r="M4" s="95"/>
      <c r="N4" s="96"/>
    </row>
    <row r="5" spans="1:14" ht="14.45" customHeight="1">
      <c r="A5" s="89" t="s">
        <v>6</v>
      </c>
      <c r="B5" s="86"/>
      <c r="C5" s="86"/>
      <c r="D5" s="86"/>
      <c r="E5" s="77"/>
      <c r="F5" s="77"/>
      <c r="G5" s="77"/>
      <c r="H5" s="77"/>
      <c r="I5" s="77"/>
      <c r="J5" s="77"/>
      <c r="K5" s="77"/>
      <c r="L5" s="86" t="s">
        <v>7</v>
      </c>
      <c r="M5" s="86"/>
      <c r="N5" s="26"/>
    </row>
    <row r="6" spans="1:14" ht="15" customHeight="1" thickBot="1">
      <c r="A6" s="94" t="s">
        <v>8</v>
      </c>
      <c r="B6" s="90"/>
      <c r="C6" s="91"/>
      <c r="D6" s="91"/>
      <c r="E6" s="91"/>
      <c r="F6" s="91"/>
      <c r="G6" s="91"/>
      <c r="H6" s="91"/>
      <c r="I6" s="90" t="s">
        <v>9</v>
      </c>
      <c r="J6" s="90"/>
      <c r="K6" s="91"/>
      <c r="L6" s="91"/>
      <c r="M6" s="91"/>
      <c r="N6" s="92"/>
    </row>
    <row r="7" spans="1:14" ht="7.9" customHeight="1" thickBot="1">
      <c r="A7" s="9"/>
      <c r="B7" s="10"/>
      <c r="C7" s="10"/>
      <c r="D7" s="10"/>
      <c r="E7" s="10"/>
      <c r="F7" s="10"/>
      <c r="G7" s="9"/>
      <c r="H7" s="9"/>
      <c r="I7" s="9"/>
      <c r="J7" s="9"/>
    </row>
    <row r="8" spans="1:14" ht="41.45" customHeight="1">
      <c r="A8" s="84" t="s">
        <v>10</v>
      </c>
      <c r="B8" s="56" t="s">
        <v>11</v>
      </c>
      <c r="C8" s="56" t="s">
        <v>12</v>
      </c>
      <c r="D8" s="56" t="s">
        <v>13</v>
      </c>
      <c r="E8" s="56" t="s">
        <v>14</v>
      </c>
      <c r="F8" s="56" t="s">
        <v>15</v>
      </c>
      <c r="G8" s="78" t="s">
        <v>16</v>
      </c>
      <c r="H8" s="78"/>
      <c r="I8" s="78"/>
      <c r="J8" s="78"/>
      <c r="K8" s="78"/>
      <c r="L8" s="78" t="s">
        <v>17</v>
      </c>
      <c r="M8" s="78"/>
      <c r="N8" s="79"/>
    </row>
    <row r="9" spans="1:14">
      <c r="A9" s="85"/>
      <c r="B9" s="57" t="s">
        <v>18</v>
      </c>
      <c r="C9" s="57" t="s">
        <v>19</v>
      </c>
      <c r="D9" s="57" t="s">
        <v>19</v>
      </c>
      <c r="E9" s="57" t="s">
        <v>19</v>
      </c>
      <c r="F9" s="57" t="s">
        <v>19</v>
      </c>
      <c r="G9" s="80"/>
      <c r="H9" s="80"/>
      <c r="I9" s="80"/>
      <c r="J9" s="80"/>
      <c r="K9" s="80"/>
      <c r="L9" s="80"/>
      <c r="M9" s="80"/>
      <c r="N9" s="81"/>
    </row>
    <row r="10" spans="1:14" ht="42" customHeight="1">
      <c r="A10" s="53">
        <v>1</v>
      </c>
      <c r="B10" s="27">
        <v>45698</v>
      </c>
      <c r="C10" s="28">
        <v>0.33333333333333331</v>
      </c>
      <c r="D10" s="28">
        <v>0.54166666666666663</v>
      </c>
      <c r="E10" s="28">
        <v>0.5625</v>
      </c>
      <c r="F10" s="28">
        <v>0.79166666666666663</v>
      </c>
      <c r="G10" s="71" t="s">
        <v>20</v>
      </c>
      <c r="H10" s="71"/>
      <c r="I10" s="71"/>
      <c r="J10" s="71"/>
      <c r="K10" s="71"/>
      <c r="L10" s="71" t="s">
        <v>21</v>
      </c>
      <c r="M10" s="71"/>
      <c r="N10" s="72"/>
    </row>
    <row r="11" spans="1:14" ht="42" customHeight="1">
      <c r="A11" s="53">
        <v>2</v>
      </c>
      <c r="B11" s="27" t="s">
        <v>22</v>
      </c>
      <c r="C11" s="28"/>
      <c r="D11" s="28"/>
      <c r="E11" s="28"/>
      <c r="F11" s="28"/>
      <c r="G11" s="71"/>
      <c r="H11" s="71"/>
      <c r="I11" s="71"/>
      <c r="J11" s="71"/>
      <c r="K11" s="71"/>
      <c r="L11" s="71"/>
      <c r="M11" s="71"/>
      <c r="N11" s="72"/>
    </row>
    <row r="12" spans="1:14" ht="42" customHeight="1">
      <c r="A12" s="53">
        <v>3</v>
      </c>
      <c r="B12" s="27" t="s">
        <v>22</v>
      </c>
      <c r="C12" s="28"/>
      <c r="D12" s="28"/>
      <c r="E12" s="28"/>
      <c r="F12" s="28"/>
      <c r="G12" s="71"/>
      <c r="H12" s="71"/>
      <c r="I12" s="71"/>
      <c r="J12" s="71"/>
      <c r="K12" s="71"/>
      <c r="L12" s="71"/>
      <c r="M12" s="71"/>
      <c r="N12" s="72"/>
    </row>
    <row r="13" spans="1:14" ht="42" customHeight="1">
      <c r="A13" s="53">
        <v>4</v>
      </c>
      <c r="B13" s="27" t="s">
        <v>22</v>
      </c>
      <c r="C13" s="28"/>
      <c r="D13" s="28"/>
      <c r="E13" s="28"/>
      <c r="F13" s="28"/>
      <c r="G13" s="71"/>
      <c r="H13" s="71"/>
      <c r="I13" s="71"/>
      <c r="J13" s="71"/>
      <c r="K13" s="71"/>
      <c r="L13" s="71"/>
      <c r="M13" s="71"/>
      <c r="N13" s="72"/>
    </row>
    <row r="14" spans="1:14" ht="42" customHeight="1">
      <c r="A14" s="53">
        <v>5</v>
      </c>
      <c r="B14" s="27" t="s">
        <v>22</v>
      </c>
      <c r="C14" s="28"/>
      <c r="D14" s="29"/>
      <c r="E14" s="29"/>
      <c r="F14" s="28"/>
      <c r="G14" s="71"/>
      <c r="H14" s="71"/>
      <c r="I14" s="71"/>
      <c r="J14" s="71"/>
      <c r="K14" s="71"/>
      <c r="L14" s="71"/>
      <c r="M14" s="71"/>
      <c r="N14" s="72"/>
    </row>
    <row r="15" spans="1:14" ht="42" customHeight="1">
      <c r="A15" s="53">
        <v>6</v>
      </c>
      <c r="B15" s="27" t="s">
        <v>22</v>
      </c>
      <c r="C15" s="28"/>
      <c r="D15" s="29"/>
      <c r="E15" s="29"/>
      <c r="F15" s="28"/>
      <c r="G15" s="71"/>
      <c r="H15" s="71"/>
      <c r="I15" s="71"/>
      <c r="J15" s="71"/>
      <c r="K15" s="71"/>
      <c r="L15" s="71"/>
      <c r="M15" s="71"/>
      <c r="N15" s="72"/>
    </row>
    <row r="16" spans="1:14" ht="42" customHeight="1">
      <c r="A16" s="53">
        <v>7</v>
      </c>
      <c r="B16" s="27" t="s">
        <v>22</v>
      </c>
      <c r="C16" s="28"/>
      <c r="D16" s="28"/>
      <c r="E16" s="28"/>
      <c r="F16" s="28"/>
      <c r="G16" s="71"/>
      <c r="H16" s="71"/>
      <c r="I16" s="71"/>
      <c r="J16" s="71"/>
      <c r="K16" s="71"/>
      <c r="L16" s="71"/>
      <c r="M16" s="71"/>
      <c r="N16" s="72"/>
    </row>
    <row r="17" spans="1:14" ht="42" customHeight="1">
      <c r="A17" s="53">
        <v>8</v>
      </c>
      <c r="B17" s="27" t="s">
        <v>22</v>
      </c>
      <c r="C17" s="28"/>
      <c r="D17" s="29"/>
      <c r="E17" s="29"/>
      <c r="F17" s="28"/>
      <c r="G17" s="71"/>
      <c r="H17" s="71"/>
      <c r="I17" s="71"/>
      <c r="J17" s="71"/>
      <c r="K17" s="71"/>
      <c r="L17" s="71"/>
      <c r="M17" s="71"/>
      <c r="N17" s="72"/>
    </row>
    <row r="18" spans="1:14" ht="42" customHeight="1">
      <c r="A18" s="53">
        <v>9</v>
      </c>
      <c r="B18" s="27" t="s">
        <v>22</v>
      </c>
      <c r="C18" s="28"/>
      <c r="D18" s="29"/>
      <c r="E18" s="29"/>
      <c r="F18" s="28"/>
      <c r="G18" s="71"/>
      <c r="H18" s="71"/>
      <c r="I18" s="71"/>
      <c r="J18" s="71"/>
      <c r="K18" s="71"/>
      <c r="L18" s="71"/>
      <c r="M18" s="71"/>
      <c r="N18" s="72"/>
    </row>
    <row r="19" spans="1:14" ht="42" customHeight="1">
      <c r="A19" s="53">
        <v>10</v>
      </c>
      <c r="B19" s="27" t="s">
        <v>22</v>
      </c>
      <c r="C19" s="28"/>
      <c r="D19" s="29"/>
      <c r="E19" s="29"/>
      <c r="F19" s="28"/>
      <c r="G19" s="71"/>
      <c r="H19" s="71"/>
      <c r="I19" s="71"/>
      <c r="J19" s="71"/>
      <c r="K19" s="71"/>
      <c r="L19" s="71"/>
      <c r="M19" s="71"/>
      <c r="N19" s="72"/>
    </row>
    <row r="20" spans="1:14" ht="42" customHeight="1">
      <c r="A20" s="53">
        <v>11</v>
      </c>
      <c r="B20" s="27" t="s">
        <v>22</v>
      </c>
      <c r="C20" s="28"/>
      <c r="D20" s="29"/>
      <c r="E20" s="29"/>
      <c r="F20" s="28"/>
      <c r="G20" s="71"/>
      <c r="H20" s="71"/>
      <c r="I20" s="71"/>
      <c r="J20" s="71"/>
      <c r="K20" s="71"/>
      <c r="L20" s="71"/>
      <c r="M20" s="71"/>
      <c r="N20" s="72"/>
    </row>
    <row r="21" spans="1:14" ht="42" customHeight="1">
      <c r="A21" s="53">
        <v>12</v>
      </c>
      <c r="B21" s="27" t="s">
        <v>22</v>
      </c>
      <c r="C21" s="28"/>
      <c r="D21" s="29"/>
      <c r="E21" s="29"/>
      <c r="F21" s="28"/>
      <c r="G21" s="71"/>
      <c r="H21" s="71"/>
      <c r="I21" s="71"/>
      <c r="J21" s="71"/>
      <c r="K21" s="71"/>
      <c r="L21" s="71"/>
      <c r="M21" s="71"/>
      <c r="N21" s="72"/>
    </row>
    <row r="22" spans="1:14" ht="42" customHeight="1">
      <c r="A22" s="53">
        <v>13</v>
      </c>
      <c r="B22" s="27" t="s">
        <v>22</v>
      </c>
      <c r="C22" s="28"/>
      <c r="D22" s="29"/>
      <c r="E22" s="29"/>
      <c r="F22" s="28"/>
      <c r="G22" s="71"/>
      <c r="H22" s="71"/>
      <c r="I22" s="71"/>
      <c r="J22" s="71"/>
      <c r="K22" s="71"/>
      <c r="L22" s="71"/>
      <c r="M22" s="71"/>
      <c r="N22" s="72"/>
    </row>
    <row r="23" spans="1:14" ht="42" customHeight="1">
      <c r="A23" s="53">
        <v>14</v>
      </c>
      <c r="B23" s="27" t="s">
        <v>22</v>
      </c>
      <c r="C23" s="28"/>
      <c r="D23" s="29"/>
      <c r="E23" s="29"/>
      <c r="F23" s="28"/>
      <c r="G23" s="71"/>
      <c r="H23" s="71"/>
      <c r="I23" s="71"/>
      <c r="J23" s="71"/>
      <c r="K23" s="71"/>
      <c r="L23" s="71"/>
      <c r="M23" s="71"/>
      <c r="N23" s="72"/>
    </row>
    <row r="24" spans="1:14" ht="42" customHeight="1" thickBot="1">
      <c r="A24" s="54">
        <v>15</v>
      </c>
      <c r="B24" s="30" t="s">
        <v>22</v>
      </c>
      <c r="C24" s="31"/>
      <c r="D24" s="32"/>
      <c r="E24" s="32"/>
      <c r="F24" s="31"/>
      <c r="G24" s="75"/>
      <c r="H24" s="75"/>
      <c r="I24" s="75"/>
      <c r="J24" s="75"/>
      <c r="K24" s="75"/>
      <c r="L24" s="75"/>
      <c r="M24" s="75"/>
      <c r="N24" s="76"/>
    </row>
    <row r="25" spans="1:14" ht="49.15" customHeight="1">
      <c r="A25" s="33"/>
      <c r="B25" s="33"/>
      <c r="C25" s="34"/>
      <c r="D25" s="34"/>
      <c r="E25" s="34"/>
      <c r="F25" s="34"/>
      <c r="G25" s="35"/>
      <c r="H25" s="35"/>
      <c r="I25" s="35"/>
      <c r="J25" s="36"/>
      <c r="K25" s="36"/>
      <c r="L25" s="36"/>
      <c r="M25" s="35"/>
      <c r="N25" s="35"/>
    </row>
    <row r="26" spans="1:14">
      <c r="A26" s="33"/>
      <c r="B26" s="33"/>
      <c r="C26" s="74" t="s">
        <v>23</v>
      </c>
      <c r="D26" s="74"/>
      <c r="E26" s="74"/>
      <c r="F26" s="74"/>
      <c r="G26" s="35"/>
      <c r="H26" s="35"/>
      <c r="I26" s="35"/>
      <c r="J26" s="74" t="s">
        <v>24</v>
      </c>
      <c r="K26" s="74"/>
      <c r="L26" s="74"/>
      <c r="M26" s="35"/>
      <c r="N26" s="35"/>
    </row>
    <row r="27" spans="1:14">
      <c r="A27" s="33"/>
      <c r="B27" s="33"/>
      <c r="C27" s="73" t="s">
        <v>25</v>
      </c>
      <c r="D27" s="73"/>
      <c r="E27" s="73"/>
      <c r="F27" s="73"/>
      <c r="G27" s="37"/>
      <c r="H27" s="35"/>
      <c r="I27" s="35"/>
      <c r="J27" s="73" t="s">
        <v>26</v>
      </c>
      <c r="K27" s="73"/>
      <c r="L27" s="73"/>
      <c r="M27" s="35"/>
      <c r="N27" s="35"/>
    </row>
    <row r="28" spans="1:14">
      <c r="A28" s="33"/>
      <c r="B28" s="33"/>
      <c r="C28" s="73" t="s">
        <v>27</v>
      </c>
      <c r="D28" s="73"/>
      <c r="E28" s="73"/>
      <c r="F28" s="73"/>
      <c r="G28" s="37"/>
      <c r="H28" s="35"/>
      <c r="I28" s="35"/>
      <c r="J28" s="73" t="s">
        <v>27</v>
      </c>
      <c r="K28" s="73"/>
      <c r="L28" s="73"/>
      <c r="M28" s="35"/>
      <c r="N28" s="35"/>
    </row>
    <row r="29" spans="1:14">
      <c r="A29" s="11"/>
      <c r="D29" s="13"/>
      <c r="E29" s="13"/>
      <c r="F29" s="13"/>
      <c r="G29" s="12"/>
    </row>
    <row r="30" spans="1:14">
      <c r="A30" s="11"/>
      <c r="D30" s="13"/>
      <c r="E30" s="13"/>
      <c r="F30" s="13"/>
      <c r="G30" s="12"/>
    </row>
    <row r="31" spans="1:14">
      <c r="A31" s="11"/>
    </row>
    <row r="32" spans="1:14">
      <c r="A32" s="11"/>
    </row>
    <row r="33" spans="1:1">
      <c r="A33" s="11"/>
    </row>
  </sheetData>
  <sheetProtection algorithmName="SHA-512" hashValue="q0cUySscvrpQi55faMu4f6K5Fuw+76WVIF0oMquMEv4Gg7rwIH+PTi5A0zXH+To9AP0314HqhiZ676uc6iNp9A==" saltValue="V9wyg8hYBaJc9bY+MjnvzQ==" spinCount="100000"/>
  <mergeCells count="53">
    <mergeCell ref="D2:M2"/>
    <mergeCell ref="D1:M1"/>
    <mergeCell ref="A8:A9"/>
    <mergeCell ref="G8:K9"/>
    <mergeCell ref="L5:M5"/>
    <mergeCell ref="F4:G4"/>
    <mergeCell ref="H4:I4"/>
    <mergeCell ref="A5:D5"/>
    <mergeCell ref="I6:J6"/>
    <mergeCell ref="K6:N6"/>
    <mergeCell ref="C6:H6"/>
    <mergeCell ref="A4:B4"/>
    <mergeCell ref="C4:D4"/>
    <mergeCell ref="A6:B6"/>
    <mergeCell ref="J4:N4"/>
    <mergeCell ref="G10:K10"/>
    <mergeCell ref="L10:N10"/>
    <mergeCell ref="G11:K11"/>
    <mergeCell ref="L11:N11"/>
    <mergeCell ref="E5:K5"/>
    <mergeCell ref="L8:N9"/>
    <mergeCell ref="L17:N17"/>
    <mergeCell ref="G12:K12"/>
    <mergeCell ref="L12:N12"/>
    <mergeCell ref="G13:K13"/>
    <mergeCell ref="L13:N13"/>
    <mergeCell ref="G14:K14"/>
    <mergeCell ref="L14:N14"/>
    <mergeCell ref="G15:K15"/>
    <mergeCell ref="L15:N15"/>
    <mergeCell ref="G16:K16"/>
    <mergeCell ref="L16:N16"/>
    <mergeCell ref="G17:K17"/>
    <mergeCell ref="G22:K22"/>
    <mergeCell ref="L22:N22"/>
    <mergeCell ref="G23:K23"/>
    <mergeCell ref="L23:N23"/>
    <mergeCell ref="C28:F28"/>
    <mergeCell ref="J28:L28"/>
    <mergeCell ref="C26:F26"/>
    <mergeCell ref="J26:L26"/>
    <mergeCell ref="C27:F27"/>
    <mergeCell ref="J27:L27"/>
    <mergeCell ref="G24:K24"/>
    <mergeCell ref="L24:N24"/>
    <mergeCell ref="G21:K21"/>
    <mergeCell ref="L21:N21"/>
    <mergeCell ref="G18:K18"/>
    <mergeCell ref="L18:N18"/>
    <mergeCell ref="G19:K19"/>
    <mergeCell ref="L19:N19"/>
    <mergeCell ref="G20:K20"/>
    <mergeCell ref="L20:N20"/>
  </mergeCells>
  <phoneticPr fontId="15" type="noConversion"/>
  <printOptions horizontalCentered="1" verticalCentered="1"/>
  <pageMargins left="0.11811023622047245" right="0.11811023622047245" top="0.19685039370078741" bottom="0.11811023622047245" header="0.31496062992125984" footer="0.31496062992125984"/>
  <pageSetup paperSize="9" scale="59" orientation="landscape" horizontalDpi="4294967294" verticalDpi="4294967294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48A3621-69A6-4F92-B0EF-6F1E9A676E64}">
          <x14:formula1>
            <xm:f>Hoja2!$E$3:$E$29</xm:f>
          </x14:formula1>
          <xm:sqref>C6:H6</xm:sqref>
        </x14:dataValidation>
        <x14:dataValidation type="list" allowBlank="1" showInputMessage="1" showErrorMessage="1" xr:uid="{3F3F9442-0CEB-4820-81C4-D0B1269E49A7}">
          <x14:formula1>
            <xm:f>Hoja2!$B$3:$B$14</xm:f>
          </x14:formula1>
          <xm:sqref>C4</xm:sqref>
        </x14:dataValidation>
        <x14:dataValidation type="list" allowBlank="1" showInputMessage="1" showErrorMessage="1" xr:uid="{C89A7346-BC56-45FA-B8F0-66A1CA95A1B1}">
          <x14:formula1>
            <xm:f>Hoja2!$C$3:$C$13</xm:f>
          </x14:formula1>
          <xm:sqref>F4:G4</xm:sqref>
        </x14:dataValidation>
        <x14:dataValidation type="list" allowBlank="1" showInputMessage="1" showErrorMessage="1" xr:uid="{91596ECE-5FC9-4DD5-9EA4-711C61FE5153}">
          <x14:formula1>
            <xm:f>Hoja2!$D$3:$D$4</xm:f>
          </x14:formula1>
          <xm:sqref>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9AFF-A7C6-464E-AAF1-DDA08374B6EF}">
  <sheetPr>
    <pageSetUpPr fitToPage="1"/>
  </sheetPr>
  <dimension ref="A1:O56"/>
  <sheetViews>
    <sheetView showGridLines="0" tabSelected="1" zoomScale="110" zoomScaleNormal="110" workbookViewId="0">
      <selection activeCell="C2" sqref="C2:K2"/>
    </sheetView>
  </sheetViews>
  <sheetFormatPr defaultColWidth="11.5703125" defaultRowHeight="10.15"/>
  <cols>
    <col min="1" max="1" width="7.5703125" style="1" customWidth="1"/>
    <col min="2" max="2" width="16.28515625" style="1" customWidth="1"/>
    <col min="3" max="3" width="12.28515625" style="1" customWidth="1"/>
    <col min="4" max="4" width="8.42578125" style="1" customWidth="1"/>
    <col min="5" max="5" width="11.5703125" style="1" customWidth="1"/>
    <col min="6" max="6" width="12.85546875" style="1" customWidth="1"/>
    <col min="7" max="7" width="12.28515625" style="1" customWidth="1"/>
    <col min="8" max="8" width="12.7109375" style="1" customWidth="1"/>
    <col min="9" max="9" width="12" style="1" customWidth="1"/>
    <col min="10" max="10" width="16.28515625" style="1" customWidth="1"/>
    <col min="11" max="11" width="16.42578125" style="1" customWidth="1"/>
    <col min="12" max="12" width="34.28515625" style="1" customWidth="1"/>
    <col min="13" max="13" width="11.5703125" style="1"/>
    <col min="14" max="14" width="12.42578125" style="1" bestFit="1" customWidth="1"/>
    <col min="15" max="16384" width="11.5703125" style="1"/>
  </cols>
  <sheetData>
    <row r="1" spans="1:15" ht="18" customHeight="1">
      <c r="B1" s="66"/>
      <c r="C1" s="109" t="s">
        <v>0</v>
      </c>
      <c r="D1" s="110"/>
      <c r="E1" s="110"/>
      <c r="F1" s="110"/>
      <c r="G1" s="110"/>
      <c r="H1" s="110"/>
      <c r="I1" s="110"/>
      <c r="J1" s="110"/>
      <c r="K1" s="110"/>
      <c r="L1" s="70" t="s">
        <v>28</v>
      </c>
    </row>
    <row r="2" spans="1:15" ht="25.9" customHeight="1" thickBot="1">
      <c r="B2" s="67"/>
      <c r="C2" s="111" t="s">
        <v>29</v>
      </c>
      <c r="D2" s="112"/>
      <c r="E2" s="112"/>
      <c r="F2" s="112"/>
      <c r="G2" s="112"/>
      <c r="H2" s="112"/>
      <c r="I2" s="112"/>
      <c r="J2" s="112"/>
      <c r="K2" s="112"/>
      <c r="L2" s="68"/>
    </row>
    <row r="3" spans="1:15" ht="7.9" customHeight="1" thickBot="1">
      <c r="D3" s="4"/>
      <c r="G3" s="3"/>
      <c r="H3" s="4"/>
    </row>
    <row r="4" spans="1:15" ht="14.45" customHeight="1">
      <c r="A4" s="113" t="s">
        <v>30</v>
      </c>
      <c r="B4" s="114"/>
      <c r="C4" s="38">
        <f>'1. REGISTRO DE ACTIVIDADES'!C4</f>
        <v>0</v>
      </c>
      <c r="D4" s="38">
        <f>'1. REGISTRO DE ACTIVIDADES'!F4</f>
        <v>0</v>
      </c>
      <c r="E4" s="119" t="s">
        <v>31</v>
      </c>
      <c r="F4" s="119"/>
      <c r="G4" s="115">
        <f>'1. REGISTRO DE ACTIVIDADES'!J4</f>
        <v>0</v>
      </c>
      <c r="H4" s="116"/>
      <c r="I4" s="127" t="s">
        <v>32</v>
      </c>
      <c r="J4" s="128"/>
      <c r="K4" s="129"/>
      <c r="L4" s="52"/>
    </row>
    <row r="5" spans="1:15" ht="12.6" customHeight="1">
      <c r="A5" s="117" t="s">
        <v>33</v>
      </c>
      <c r="B5" s="118"/>
      <c r="C5" s="118"/>
      <c r="D5" s="118"/>
      <c r="E5" s="120">
        <f>'1. REGISTRO DE ACTIVIDADES'!E5</f>
        <v>0</v>
      </c>
      <c r="F5" s="120"/>
      <c r="G5" s="120"/>
      <c r="H5" s="120"/>
      <c r="I5" s="130" t="s">
        <v>34</v>
      </c>
      <c r="J5" s="131"/>
      <c r="K5" s="122">
        <f>'1. REGISTRO DE ACTIVIDADES'!N5</f>
        <v>0</v>
      </c>
      <c r="L5" s="123"/>
    </row>
    <row r="6" spans="1:15" ht="14.45" customHeight="1" thickBot="1">
      <c r="A6" s="132" t="s">
        <v>35</v>
      </c>
      <c r="B6" s="133"/>
      <c r="C6" s="121">
        <f>'1. REGISTRO DE ACTIVIDADES'!C6</f>
        <v>0</v>
      </c>
      <c r="D6" s="121"/>
      <c r="E6" s="121"/>
      <c r="F6" s="121"/>
      <c r="G6" s="121"/>
      <c r="H6" s="121"/>
      <c r="I6" s="62" t="s">
        <v>36</v>
      </c>
      <c r="J6" s="124">
        <f>'1. REGISTRO DE ACTIVIDADES'!K6</f>
        <v>0</v>
      </c>
      <c r="K6" s="125"/>
      <c r="L6" s="126"/>
    </row>
    <row r="7" spans="1:15" ht="7.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5" ht="20.45">
      <c r="A8" s="98" t="s">
        <v>37</v>
      </c>
      <c r="B8" s="98" t="s">
        <v>38</v>
      </c>
      <c r="C8" s="98" t="s">
        <v>39</v>
      </c>
      <c r="D8" s="63" t="s">
        <v>40</v>
      </c>
      <c r="E8" s="98" t="s">
        <v>41</v>
      </c>
      <c r="F8" s="99"/>
      <c r="G8" s="98" t="s">
        <v>42</v>
      </c>
      <c r="H8" s="99"/>
      <c r="I8" s="98" t="s">
        <v>43</v>
      </c>
      <c r="J8" s="98"/>
      <c r="K8" s="98" t="s">
        <v>44</v>
      </c>
      <c r="L8" s="98" t="s">
        <v>45</v>
      </c>
    </row>
    <row r="9" spans="1:15" s="2" customFormat="1" ht="20.45">
      <c r="A9" s="99"/>
      <c r="B9" s="99"/>
      <c r="C9" s="99"/>
      <c r="D9" s="64" t="s">
        <v>46</v>
      </c>
      <c r="E9" s="63" t="s">
        <v>47</v>
      </c>
      <c r="F9" s="63" t="s">
        <v>48</v>
      </c>
      <c r="G9" s="64" t="s">
        <v>49</v>
      </c>
      <c r="H9" s="64" t="s">
        <v>50</v>
      </c>
      <c r="I9" s="63" t="s">
        <v>51</v>
      </c>
      <c r="J9" s="63" t="s">
        <v>52</v>
      </c>
      <c r="K9" s="98"/>
      <c r="L9" s="98"/>
    </row>
    <row r="10" spans="1:15">
      <c r="A10" s="39">
        <f>'1. REGISTRO DE ACTIVIDADES'!A10</f>
        <v>1</v>
      </c>
      <c r="B10" s="40">
        <f>'1. REGISTRO DE ACTIVIDADES'!B10</f>
        <v>45698</v>
      </c>
      <c r="C10" s="39" t="str">
        <f>IF(B10&gt;1,TEXT(B10,"Dddd"),0)</f>
        <v>lunes</v>
      </c>
      <c r="D10" s="41" t="s">
        <v>53</v>
      </c>
      <c r="E10" s="42">
        <v>0.33333333333333331</v>
      </c>
      <c r="F10" s="42">
        <v>0.6875</v>
      </c>
      <c r="G10" s="43">
        <f>IF(F10=0,'1. REGISTRO DE ACTIVIDADES'!C10,F10+$A$45)</f>
        <v>0.6875</v>
      </c>
      <c r="H10" s="43">
        <f>'1. REGISTRO DE ACTIVIDADES'!F10</f>
        <v>0.79166666666666663</v>
      </c>
      <c r="I10" s="43">
        <f>IF(AND(D10="NO",H10-G10),IF(OR(C10="lunes",C10="martes",C10="miércoles",C10="jueves",C10="viernes"),H10-G10,0),0)</f>
        <v>0.10416666666666663</v>
      </c>
      <c r="J10" s="25">
        <f t="shared" ref="J10:J24" si="0">IF(I10&lt;0.167361,I10,0.1666666666667)</f>
        <v>0.10416666666666663</v>
      </c>
      <c r="K10" s="25">
        <f>IF(OR(C10="sábado",C10="domingo",D10="SI",C10=0),H10-G10,IF(AND('1. REGISTRO DE ACTIVIDADES'!C10&lt;0.25,E10&lt;=0.25),E10-'1. REGISTRO DE ACTIVIDADES'!C10,IF(AND(E10&gt;=0.25,'1. REGISTRO DE ACTIVIDADES'!C10&lt;0.25),0.25-'1. REGISTRO DE ACTIVIDADES'!C10,0)))</f>
        <v>0</v>
      </c>
      <c r="L10" s="44" t="str">
        <f>'1. REGISTRO DE ACTIVIDADES'!G10</f>
        <v xml:space="preserve">elaborar memos </v>
      </c>
      <c r="N10" s="19"/>
    </row>
    <row r="11" spans="1:15">
      <c r="A11" s="39">
        <f>'1. REGISTRO DE ACTIVIDADES'!A11</f>
        <v>2</v>
      </c>
      <c r="B11" s="40" t="str">
        <f>'1. REGISTRO DE ACTIVIDADES'!B11</f>
        <v>-</v>
      </c>
      <c r="C11" s="39" t="str">
        <f t="shared" ref="C11:C24" si="1">IF(B11&gt;1,TEXT(B11,"Dddd"),0)</f>
        <v>-</v>
      </c>
      <c r="D11" s="41"/>
      <c r="E11" s="42"/>
      <c r="F11" s="42"/>
      <c r="G11" s="43">
        <f>IF(F11=0,'1. REGISTRO DE ACTIVIDADES'!C11,F11+$A$45)</f>
        <v>0</v>
      </c>
      <c r="H11" s="43">
        <f>'1. REGISTRO DE ACTIVIDADES'!F11</f>
        <v>0</v>
      </c>
      <c r="I11" s="43">
        <f t="shared" ref="I11:I24" si="2">IF(AND(D11="NO",H11-G11),IF(OR(C11="lunes",C11="martes",C11="miércoles",C11="jueves",C11="viernes"),H11-G11,0),0)</f>
        <v>0</v>
      </c>
      <c r="J11" s="25">
        <f t="shared" si="0"/>
        <v>0</v>
      </c>
      <c r="K11" s="25">
        <f>IF(OR(C11="sábado",C11="domingo",D11="SI",C11=0),H11-G11,IF(AND('1. REGISTRO DE ACTIVIDADES'!C11&lt;0.25,E11&lt;=0.25),E11-'1. REGISTRO DE ACTIVIDADES'!C11,IF(AND(E11&gt;=0.25,'1. REGISTRO DE ACTIVIDADES'!C11&lt;0.25),0.25-'1. REGISTRO DE ACTIVIDADES'!C11,0)))</f>
        <v>0</v>
      </c>
      <c r="L11" s="44">
        <f>'1. REGISTRO DE ACTIVIDADES'!G11</f>
        <v>0</v>
      </c>
      <c r="N11" s="19"/>
    </row>
    <row r="12" spans="1:15">
      <c r="A12" s="39">
        <f>'1. REGISTRO DE ACTIVIDADES'!A12</f>
        <v>3</v>
      </c>
      <c r="B12" s="40" t="str">
        <f>'1. REGISTRO DE ACTIVIDADES'!B12</f>
        <v>-</v>
      </c>
      <c r="C12" s="39" t="str">
        <f t="shared" si="1"/>
        <v>-</v>
      </c>
      <c r="D12" s="41"/>
      <c r="E12" s="42"/>
      <c r="F12" s="42"/>
      <c r="G12" s="43">
        <f>IF(F12=0,'1. REGISTRO DE ACTIVIDADES'!C12,F12+$A$45)</f>
        <v>0</v>
      </c>
      <c r="H12" s="43">
        <f>'1. REGISTRO DE ACTIVIDADES'!F12</f>
        <v>0</v>
      </c>
      <c r="I12" s="43">
        <f t="shared" si="2"/>
        <v>0</v>
      </c>
      <c r="J12" s="25">
        <f t="shared" si="0"/>
        <v>0</v>
      </c>
      <c r="K12" s="25">
        <f>IF(OR(C12="sábado",C12="domingo",D12="SI",C12=0),H12-G12,IF(AND('1. REGISTRO DE ACTIVIDADES'!C12&lt;0.25,E12&lt;=0.25),E12-'1. REGISTRO DE ACTIVIDADES'!C12,IF(AND(E12&gt;=0.25,'1. REGISTRO DE ACTIVIDADES'!C12&lt;0.25),0.25-'1. REGISTRO DE ACTIVIDADES'!C12,0)))</f>
        <v>0</v>
      </c>
      <c r="L12" s="44">
        <f>'1. REGISTRO DE ACTIVIDADES'!G12</f>
        <v>0</v>
      </c>
      <c r="N12" s="19"/>
    </row>
    <row r="13" spans="1:15">
      <c r="A13" s="39">
        <f>'1. REGISTRO DE ACTIVIDADES'!A13</f>
        <v>4</v>
      </c>
      <c r="B13" s="40" t="str">
        <f>'1. REGISTRO DE ACTIVIDADES'!B13</f>
        <v>-</v>
      </c>
      <c r="C13" s="39" t="str">
        <f t="shared" si="1"/>
        <v>-</v>
      </c>
      <c r="D13" s="41"/>
      <c r="E13" s="42"/>
      <c r="F13" s="42"/>
      <c r="G13" s="43">
        <f>IF(F13=0,'1. REGISTRO DE ACTIVIDADES'!C13,F13+$A$45)</f>
        <v>0</v>
      </c>
      <c r="H13" s="43">
        <f>'1. REGISTRO DE ACTIVIDADES'!F13</f>
        <v>0</v>
      </c>
      <c r="I13" s="43">
        <f t="shared" si="2"/>
        <v>0</v>
      </c>
      <c r="J13" s="25">
        <f t="shared" si="0"/>
        <v>0</v>
      </c>
      <c r="K13" s="25">
        <f>IF(OR(C13="sábado",C13="domingo",D13="SI",C13=0),H13-G13,IF(AND('1. REGISTRO DE ACTIVIDADES'!C13&lt;0.25,E13&lt;=0.25),E13-'1. REGISTRO DE ACTIVIDADES'!C13,IF(AND(E13&gt;=0.25,'1. REGISTRO DE ACTIVIDADES'!C13&lt;0.25),0.25-'1. REGISTRO DE ACTIVIDADES'!C13,0)))</f>
        <v>0</v>
      </c>
      <c r="L13" s="44">
        <f>'1. REGISTRO DE ACTIVIDADES'!G13</f>
        <v>0</v>
      </c>
      <c r="N13" s="19"/>
      <c r="O13" s="19"/>
    </row>
    <row r="14" spans="1:15">
      <c r="A14" s="39">
        <f>'1. REGISTRO DE ACTIVIDADES'!A14</f>
        <v>5</v>
      </c>
      <c r="B14" s="40" t="str">
        <f>'1. REGISTRO DE ACTIVIDADES'!B14</f>
        <v>-</v>
      </c>
      <c r="C14" s="39" t="str">
        <f t="shared" si="1"/>
        <v>-</v>
      </c>
      <c r="D14" s="41"/>
      <c r="E14" s="42"/>
      <c r="F14" s="42"/>
      <c r="G14" s="43">
        <f>IF(F14=0,'1. REGISTRO DE ACTIVIDADES'!C14,F14+$A$45)</f>
        <v>0</v>
      </c>
      <c r="H14" s="43">
        <f>'1. REGISTRO DE ACTIVIDADES'!F14</f>
        <v>0</v>
      </c>
      <c r="I14" s="43">
        <f t="shared" si="2"/>
        <v>0</v>
      </c>
      <c r="J14" s="25">
        <f t="shared" si="0"/>
        <v>0</v>
      </c>
      <c r="K14" s="25">
        <f>IF(OR(C14="sábado",C14="domingo",D14="SI",C14=0),H14-G14,IF(AND('1. REGISTRO DE ACTIVIDADES'!C14&lt;0.25,E14&lt;=0.25),E14-'1. REGISTRO DE ACTIVIDADES'!C14,IF(AND(E14&gt;=0.25,'1. REGISTRO DE ACTIVIDADES'!C14&lt;0.25),0.25-'1. REGISTRO DE ACTIVIDADES'!C14,0)))</f>
        <v>0</v>
      </c>
      <c r="L14" s="44">
        <f>'1. REGISTRO DE ACTIVIDADES'!G14</f>
        <v>0</v>
      </c>
      <c r="N14" s="19"/>
      <c r="O14" s="1">
        <v>0.25</v>
      </c>
    </row>
    <row r="15" spans="1:15">
      <c r="A15" s="39">
        <f>'1. REGISTRO DE ACTIVIDADES'!A15</f>
        <v>6</v>
      </c>
      <c r="B15" s="40" t="str">
        <f>'1. REGISTRO DE ACTIVIDADES'!B15</f>
        <v>-</v>
      </c>
      <c r="C15" s="39" t="str">
        <f t="shared" si="1"/>
        <v>-</v>
      </c>
      <c r="D15" s="41"/>
      <c r="E15" s="42"/>
      <c r="F15" s="42"/>
      <c r="G15" s="43">
        <f>IF(F15=0,'1. REGISTRO DE ACTIVIDADES'!C15,F15+$A$45)</f>
        <v>0</v>
      </c>
      <c r="H15" s="43">
        <f>'1. REGISTRO DE ACTIVIDADES'!F15</f>
        <v>0</v>
      </c>
      <c r="I15" s="43">
        <f t="shared" si="2"/>
        <v>0</v>
      </c>
      <c r="J15" s="25">
        <f t="shared" si="0"/>
        <v>0</v>
      </c>
      <c r="K15" s="25">
        <f>IF(OR(C15="sábado",C15="domingo",D15="SI",C15=0),H15-G15,IF(AND('1. REGISTRO DE ACTIVIDADES'!C15&lt;0.25,E15&lt;=0.25),E15-'1. REGISTRO DE ACTIVIDADES'!C15,IF(AND(E15&gt;=0.25,'1. REGISTRO DE ACTIVIDADES'!C15&lt;0.25),0.25-'1. REGISTRO DE ACTIVIDADES'!C15,0)))</f>
        <v>0</v>
      </c>
      <c r="L15" s="44">
        <f>'1. REGISTRO DE ACTIVIDADES'!G15</f>
        <v>0</v>
      </c>
      <c r="N15" s="22">
        <v>0.25</v>
      </c>
    </row>
    <row r="16" spans="1:15">
      <c r="A16" s="39">
        <f>'1. REGISTRO DE ACTIVIDADES'!A16</f>
        <v>7</v>
      </c>
      <c r="B16" s="40" t="str">
        <f>'1. REGISTRO DE ACTIVIDADES'!B16</f>
        <v>-</v>
      </c>
      <c r="C16" s="39" t="str">
        <f t="shared" si="1"/>
        <v>-</v>
      </c>
      <c r="D16" s="41"/>
      <c r="E16" s="42"/>
      <c r="F16" s="42"/>
      <c r="G16" s="43">
        <f>IF(F16=0,'1. REGISTRO DE ACTIVIDADES'!C16,F16+$A$45)</f>
        <v>0</v>
      </c>
      <c r="H16" s="43">
        <f>'1. REGISTRO DE ACTIVIDADES'!F16</f>
        <v>0</v>
      </c>
      <c r="I16" s="43">
        <f t="shared" si="2"/>
        <v>0</v>
      </c>
      <c r="J16" s="25">
        <f t="shared" si="0"/>
        <v>0</v>
      </c>
      <c r="K16" s="25">
        <f>IF(OR(C16="sábado",C16="domingo",D16="SI",C16=0),H16-G16,IF(AND('1. REGISTRO DE ACTIVIDADES'!C16&lt;0.25,E16&lt;=0.25),E16-'1. REGISTRO DE ACTIVIDADES'!C16,IF(AND(E16&gt;=0.25,'1. REGISTRO DE ACTIVIDADES'!C16&lt;0.25),0.25-'1. REGISTRO DE ACTIVIDADES'!C16,0)))</f>
        <v>0</v>
      </c>
      <c r="L16" s="44">
        <f>'1. REGISTRO DE ACTIVIDADES'!G17</f>
        <v>0</v>
      </c>
    </row>
    <row r="17" spans="1:15">
      <c r="A17" s="39">
        <f>'1. REGISTRO DE ACTIVIDADES'!A17</f>
        <v>8</v>
      </c>
      <c r="B17" s="40" t="str">
        <f>'1. REGISTRO DE ACTIVIDADES'!B17</f>
        <v>-</v>
      </c>
      <c r="C17" s="39" t="str">
        <f t="shared" si="1"/>
        <v>-</v>
      </c>
      <c r="D17" s="41"/>
      <c r="E17" s="42"/>
      <c r="F17" s="42"/>
      <c r="G17" s="43">
        <f>IF(F17=0,'1. REGISTRO DE ACTIVIDADES'!C17,F17+$A$45)</f>
        <v>0</v>
      </c>
      <c r="H17" s="43">
        <f>'1. REGISTRO DE ACTIVIDADES'!F17</f>
        <v>0</v>
      </c>
      <c r="I17" s="43">
        <f t="shared" si="2"/>
        <v>0</v>
      </c>
      <c r="J17" s="25">
        <f t="shared" si="0"/>
        <v>0</v>
      </c>
      <c r="K17" s="25">
        <f>IF(OR(C17="sábado",C17="domingo",D17="SI",C17=0),H17-G17,IF(AND('1. REGISTRO DE ACTIVIDADES'!C17&lt;0.25,E17&lt;=0.25),E17-'1. REGISTRO DE ACTIVIDADES'!C17,IF(AND(E17&gt;=0.25,'1. REGISTRO DE ACTIVIDADES'!C17&lt;0.25),0.25-'1. REGISTRO DE ACTIVIDADES'!C17,0)))</f>
        <v>0</v>
      </c>
      <c r="L17" s="44">
        <f>'1. REGISTRO DE ACTIVIDADES'!G18</f>
        <v>0</v>
      </c>
    </row>
    <row r="18" spans="1:15">
      <c r="A18" s="39">
        <f>'1. REGISTRO DE ACTIVIDADES'!A18</f>
        <v>9</v>
      </c>
      <c r="B18" s="40" t="str">
        <f>'1. REGISTRO DE ACTIVIDADES'!B18</f>
        <v>-</v>
      </c>
      <c r="C18" s="39" t="str">
        <f t="shared" si="1"/>
        <v>-</v>
      </c>
      <c r="D18" s="41"/>
      <c r="E18" s="42"/>
      <c r="F18" s="42"/>
      <c r="G18" s="43">
        <f>IF(F18=0,'1. REGISTRO DE ACTIVIDADES'!C18,F18+$A$45)</f>
        <v>0</v>
      </c>
      <c r="H18" s="43">
        <f>'1. REGISTRO DE ACTIVIDADES'!F18</f>
        <v>0</v>
      </c>
      <c r="I18" s="43">
        <f t="shared" si="2"/>
        <v>0</v>
      </c>
      <c r="J18" s="25">
        <f t="shared" si="0"/>
        <v>0</v>
      </c>
      <c r="K18" s="25">
        <f>IF(OR(C18="sábado",C18="domingo",D18="SI",C18=0),H18-G18,IF(AND('1. REGISTRO DE ACTIVIDADES'!C18&lt;0.25,E18&lt;=0.25),E18-'1. REGISTRO DE ACTIVIDADES'!C18,IF(AND(E18&gt;=0.25,'1. REGISTRO DE ACTIVIDADES'!C18&lt;0.25),0.25-'1. REGISTRO DE ACTIVIDADES'!C18,0)))</f>
        <v>0</v>
      </c>
      <c r="L18" s="44">
        <f>'1. REGISTRO DE ACTIVIDADES'!G19</f>
        <v>0</v>
      </c>
      <c r="N18" s="24">
        <v>0.16666666666666666</v>
      </c>
      <c r="O18" s="16">
        <v>0.16666666666666666</v>
      </c>
    </row>
    <row r="19" spans="1:15">
      <c r="A19" s="39">
        <f>'1. REGISTRO DE ACTIVIDADES'!A19</f>
        <v>10</v>
      </c>
      <c r="B19" s="40" t="str">
        <f>'1. REGISTRO DE ACTIVIDADES'!B19</f>
        <v>-</v>
      </c>
      <c r="C19" s="39" t="str">
        <f t="shared" si="1"/>
        <v>-</v>
      </c>
      <c r="D19" s="41"/>
      <c r="E19" s="42"/>
      <c r="F19" s="42"/>
      <c r="G19" s="43">
        <f>IF(F19=0,'1. REGISTRO DE ACTIVIDADES'!C19,F19+$A$45)</f>
        <v>0</v>
      </c>
      <c r="H19" s="43">
        <f>'1. REGISTRO DE ACTIVIDADES'!F19</f>
        <v>0</v>
      </c>
      <c r="I19" s="43">
        <f t="shared" si="2"/>
        <v>0</v>
      </c>
      <c r="J19" s="25">
        <f t="shared" si="0"/>
        <v>0</v>
      </c>
      <c r="K19" s="25">
        <f>IF(OR(C19="sábado",C19="domingo",D19="SI",C19=0),H19-G19,IF(AND('1. REGISTRO DE ACTIVIDADES'!C19&lt;0.25,E19&lt;=0.25),E19-'1. REGISTRO DE ACTIVIDADES'!C19,IF(AND(E19&gt;=0.25,'1. REGISTRO DE ACTIVIDADES'!C19&lt;0.25),0.25-'1. REGISTRO DE ACTIVIDADES'!C19,0)))</f>
        <v>0</v>
      </c>
      <c r="L19" s="44">
        <f>'1. REGISTRO DE ACTIVIDADES'!G20</f>
        <v>0</v>
      </c>
      <c r="M19" s="16"/>
      <c r="N19" s="21">
        <v>0.33333333333333331</v>
      </c>
      <c r="O19" s="16">
        <v>0.33333333333333331</v>
      </c>
    </row>
    <row r="20" spans="1:15">
      <c r="A20" s="39">
        <f>'1. REGISTRO DE ACTIVIDADES'!A20</f>
        <v>11</v>
      </c>
      <c r="B20" s="40" t="str">
        <f>'1. REGISTRO DE ACTIVIDADES'!B20</f>
        <v>-</v>
      </c>
      <c r="C20" s="39" t="str">
        <f t="shared" si="1"/>
        <v>-</v>
      </c>
      <c r="D20" s="41"/>
      <c r="E20" s="42"/>
      <c r="F20" s="42"/>
      <c r="G20" s="43">
        <f>IF(F20=0,'1. REGISTRO DE ACTIVIDADES'!C20,F20+$A$45)</f>
        <v>0</v>
      </c>
      <c r="H20" s="43">
        <f>'1. REGISTRO DE ACTIVIDADES'!F20</f>
        <v>0</v>
      </c>
      <c r="I20" s="43">
        <f t="shared" si="2"/>
        <v>0</v>
      </c>
      <c r="J20" s="25">
        <f t="shared" si="0"/>
        <v>0</v>
      </c>
      <c r="K20" s="25">
        <f>IF(OR(C20="sábado",C20="domingo",D20="SI",C20=0),H20-G20,IF(AND('1. REGISTRO DE ACTIVIDADES'!C20&lt;0.25,E20&lt;=0.25),E20-'1. REGISTRO DE ACTIVIDADES'!C20,IF(AND(E20&gt;=0.25,'1. REGISTRO DE ACTIVIDADES'!C20&lt;0.25),0.25-'1. REGISTRO DE ACTIVIDADES'!C20,0)))</f>
        <v>0</v>
      </c>
      <c r="L20" s="44">
        <f>'1. REGISTRO DE ACTIVIDADES'!G21</f>
        <v>0</v>
      </c>
    </row>
    <row r="21" spans="1:15">
      <c r="A21" s="39">
        <f>'1. REGISTRO DE ACTIVIDADES'!A21</f>
        <v>12</v>
      </c>
      <c r="B21" s="40" t="str">
        <f>'1. REGISTRO DE ACTIVIDADES'!B21</f>
        <v>-</v>
      </c>
      <c r="C21" s="39" t="str">
        <f t="shared" si="1"/>
        <v>-</v>
      </c>
      <c r="D21" s="41"/>
      <c r="E21" s="42"/>
      <c r="F21" s="42"/>
      <c r="G21" s="43">
        <f>IF(F21=0,'1. REGISTRO DE ACTIVIDADES'!C21,F21+$A$45)</f>
        <v>0</v>
      </c>
      <c r="H21" s="43">
        <f>'1. REGISTRO DE ACTIVIDADES'!F21</f>
        <v>0</v>
      </c>
      <c r="I21" s="43">
        <f t="shared" si="2"/>
        <v>0</v>
      </c>
      <c r="J21" s="25">
        <f t="shared" si="0"/>
        <v>0</v>
      </c>
      <c r="K21" s="25">
        <f>IF(OR(C21="sábado",C21="domingo",D21="SI",C21=0),H21-G21,IF(AND('1. REGISTRO DE ACTIVIDADES'!C21&lt;0.25,E21&lt;=0.25),E21-'1. REGISTRO DE ACTIVIDADES'!C21,IF(AND(E21&gt;=0.25,'1. REGISTRO DE ACTIVIDADES'!C21&lt;0.25),0.25-'1. REGISTRO DE ACTIVIDADES'!C21,0)))</f>
        <v>0</v>
      </c>
      <c r="L21" s="44">
        <f>'1. REGISTRO DE ACTIVIDADES'!G22</f>
        <v>0</v>
      </c>
      <c r="N21" s="21"/>
    </row>
    <row r="22" spans="1:15">
      <c r="A22" s="39">
        <f>'1. REGISTRO DE ACTIVIDADES'!A22</f>
        <v>13</v>
      </c>
      <c r="B22" s="40" t="str">
        <f>'1. REGISTRO DE ACTIVIDADES'!B22</f>
        <v>-</v>
      </c>
      <c r="C22" s="39" t="str">
        <f t="shared" si="1"/>
        <v>-</v>
      </c>
      <c r="D22" s="41"/>
      <c r="E22" s="42"/>
      <c r="F22" s="42"/>
      <c r="G22" s="43">
        <f>IF(F22=0,'1. REGISTRO DE ACTIVIDADES'!C22,F22+$A$45)</f>
        <v>0</v>
      </c>
      <c r="H22" s="43">
        <f>'1. REGISTRO DE ACTIVIDADES'!F22</f>
        <v>0</v>
      </c>
      <c r="I22" s="43">
        <f t="shared" si="2"/>
        <v>0</v>
      </c>
      <c r="J22" s="25">
        <f t="shared" si="0"/>
        <v>0</v>
      </c>
      <c r="K22" s="25">
        <f>IF(OR(C22="sábado",C22="domingo",D22="SI",C22=0),H22-G22,IF(AND('1. REGISTRO DE ACTIVIDADES'!C22&lt;0.25,E22&lt;=0.25),E22-'1. REGISTRO DE ACTIVIDADES'!C22,IF(AND(E22&gt;=0.25,'1. REGISTRO DE ACTIVIDADES'!C22&lt;0.25),0.25-'1. REGISTRO DE ACTIVIDADES'!C22,0)))</f>
        <v>0</v>
      </c>
      <c r="L22" s="44">
        <f>'1. REGISTRO DE ACTIVIDADES'!G23</f>
        <v>0</v>
      </c>
      <c r="M22" s="16"/>
    </row>
    <row r="23" spans="1:15">
      <c r="A23" s="39">
        <f>'1. REGISTRO DE ACTIVIDADES'!A23</f>
        <v>14</v>
      </c>
      <c r="B23" s="40" t="str">
        <f>'1. REGISTRO DE ACTIVIDADES'!B23</f>
        <v>-</v>
      </c>
      <c r="C23" s="39" t="str">
        <f t="shared" si="1"/>
        <v>-</v>
      </c>
      <c r="D23" s="41"/>
      <c r="E23" s="42"/>
      <c r="F23" s="42"/>
      <c r="G23" s="43">
        <f>IF(F23=0,'1. REGISTRO DE ACTIVIDADES'!C23,F23+$A$45)</f>
        <v>0</v>
      </c>
      <c r="H23" s="43">
        <f>'1. REGISTRO DE ACTIVIDADES'!F23</f>
        <v>0</v>
      </c>
      <c r="I23" s="43">
        <f t="shared" si="2"/>
        <v>0</v>
      </c>
      <c r="J23" s="25">
        <f t="shared" si="0"/>
        <v>0</v>
      </c>
      <c r="K23" s="25">
        <f>IF(OR(C23="sábado",C23="domingo",D23="SI",C23=0),H23-G23,IF(AND('1. REGISTRO DE ACTIVIDADES'!C23&lt;0.25,E23&lt;=0.25),E23-'1. REGISTRO DE ACTIVIDADES'!C23,IF(AND(E23&gt;=0.25,'1. REGISTRO DE ACTIVIDADES'!C23&lt;0.25),0.25-'1. REGISTRO DE ACTIVIDADES'!C23,0)))</f>
        <v>0</v>
      </c>
      <c r="L23" s="44">
        <f>'1. REGISTRO DE ACTIVIDADES'!G24</f>
        <v>0</v>
      </c>
      <c r="M23" s="16"/>
    </row>
    <row r="24" spans="1:15">
      <c r="A24" s="39">
        <f>'1. REGISTRO DE ACTIVIDADES'!A24</f>
        <v>15</v>
      </c>
      <c r="B24" s="40" t="str">
        <f>'1. REGISTRO DE ACTIVIDADES'!B24</f>
        <v>-</v>
      </c>
      <c r="C24" s="39" t="str">
        <f t="shared" si="1"/>
        <v>-</v>
      </c>
      <c r="D24" s="41"/>
      <c r="E24" s="42"/>
      <c r="F24" s="42"/>
      <c r="G24" s="43">
        <f>IF(F24=0,'1. REGISTRO DE ACTIVIDADES'!C24,F24+$A$45)</f>
        <v>0</v>
      </c>
      <c r="H24" s="43">
        <f>'1. REGISTRO DE ACTIVIDADES'!F24</f>
        <v>0</v>
      </c>
      <c r="I24" s="43">
        <f t="shared" si="2"/>
        <v>0</v>
      </c>
      <c r="J24" s="25">
        <f t="shared" si="0"/>
        <v>0</v>
      </c>
      <c r="K24" s="25">
        <f>IF(OR(C24="sábado",C24="domingo",D24="SI",C24=0),H24-G24,IF(AND('1. REGISTRO DE ACTIVIDADES'!C24&lt;0.25,E24&lt;=0.25),E24-'1. REGISTRO DE ACTIVIDADES'!C24,IF(AND(E24&gt;=0.25,'1. REGISTRO DE ACTIVIDADES'!C24&lt;0.25),0.25-'1. REGISTRO DE ACTIVIDADES'!C24,0)))</f>
        <v>0</v>
      </c>
      <c r="L24" s="44">
        <f>'1. REGISTRO DE ACTIVIDADES'!G25</f>
        <v>0</v>
      </c>
      <c r="N24" s="17"/>
    </row>
    <row r="25" spans="1:15" ht="10.15" customHeight="1" thickBot="1">
      <c r="A25" s="101" t="s">
        <v>54</v>
      </c>
      <c r="B25" s="102"/>
      <c r="C25" s="102"/>
      <c r="D25" s="102"/>
      <c r="E25" s="102"/>
      <c r="F25" s="102"/>
      <c r="G25" s="102"/>
      <c r="H25" s="102"/>
      <c r="I25" s="103"/>
      <c r="J25" s="20">
        <f>SUM(J10:J24)</f>
        <v>0.10416666666666663</v>
      </c>
      <c r="K25" s="20">
        <f>SUM(K10:K24)</f>
        <v>0</v>
      </c>
      <c r="L25" s="5"/>
    </row>
    <row r="26" spans="1:15" ht="21" customHeight="1" thickBot="1">
      <c r="A26" s="104" t="s">
        <v>55</v>
      </c>
      <c r="B26" s="105"/>
      <c r="C26" s="105"/>
      <c r="D26" s="105"/>
      <c r="E26" s="105"/>
      <c r="F26" s="105"/>
      <c r="G26" s="105"/>
      <c r="H26" s="105"/>
      <c r="I26" s="106"/>
      <c r="J26" s="107">
        <f>J25+K25</f>
        <v>0.10416666666666663</v>
      </c>
      <c r="K26" s="108"/>
      <c r="L26" s="45" t="str">
        <f>IF(AND(G4="LOSEP",J26&gt;0.833333333),"¡SUPERA LAS 20 HORAS TOTALES!",IF(AND(G4="CÓDIGO DE TRABAJO",J25&gt;2),"¡SUPERA LAS 48 HORAS SUPLEMENTARIAS!","¡VERIFICAR HORAS SEMANALES!"))</f>
        <v>¡VERIFICAR HORAS SEMANALES!</v>
      </c>
      <c r="N26" s="18"/>
    </row>
    <row r="27" spans="1:15" ht="43.9" customHeight="1">
      <c r="A27" s="46"/>
      <c r="B27" s="46"/>
      <c r="C27" s="47"/>
      <c r="D27" s="47"/>
      <c r="E27" s="48"/>
      <c r="F27" s="46"/>
      <c r="G27" s="46"/>
      <c r="H27" s="46"/>
      <c r="I27" s="47"/>
      <c r="J27" s="47"/>
      <c r="K27" s="46"/>
      <c r="L27" s="49"/>
    </row>
    <row r="28" spans="1:15" ht="13.9" customHeight="1">
      <c r="A28" s="46"/>
      <c r="B28" s="46"/>
      <c r="C28" s="100" t="s">
        <v>23</v>
      </c>
      <c r="D28" s="100"/>
      <c r="E28" s="100"/>
      <c r="F28" s="50"/>
      <c r="G28" s="46"/>
      <c r="H28" s="46"/>
      <c r="I28" s="100" t="s">
        <v>56</v>
      </c>
      <c r="J28" s="100"/>
      <c r="K28" s="50"/>
      <c r="L28" s="46"/>
    </row>
    <row r="29" spans="1:15">
      <c r="A29" s="46"/>
      <c r="B29" s="46"/>
      <c r="C29" s="97" t="s">
        <v>25</v>
      </c>
      <c r="D29" s="97"/>
      <c r="E29" s="97"/>
      <c r="F29" s="46"/>
      <c r="G29" s="46"/>
      <c r="H29" s="46"/>
      <c r="I29" s="97" t="s">
        <v>57</v>
      </c>
      <c r="J29" s="97"/>
      <c r="K29" s="46"/>
      <c r="L29" s="46"/>
    </row>
    <row r="30" spans="1:15">
      <c r="A30" s="46"/>
      <c r="B30" s="46"/>
      <c r="C30" s="97" t="s">
        <v>27</v>
      </c>
      <c r="D30" s="97"/>
      <c r="E30" s="97"/>
      <c r="F30" s="46"/>
      <c r="G30" s="46"/>
      <c r="H30" s="46"/>
      <c r="I30" s="97" t="s">
        <v>58</v>
      </c>
      <c r="J30" s="97"/>
      <c r="K30" s="46"/>
      <c r="L30" s="46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</row>
    <row r="38" spans="1:6">
      <c r="A38" s="14"/>
      <c r="B38" s="14"/>
      <c r="C38" s="14"/>
      <c r="E38" s="14"/>
      <c r="F38" s="14"/>
    </row>
    <row r="46" spans="1:6">
      <c r="A46" s="14"/>
      <c r="B46" s="14"/>
      <c r="C46" s="14"/>
      <c r="E46" s="14"/>
      <c r="F46" s="14"/>
    </row>
    <row r="47" spans="1:6">
      <c r="A47" s="14"/>
      <c r="B47" s="14"/>
      <c r="C47" s="14"/>
      <c r="E47" s="14"/>
      <c r="F47" s="14"/>
    </row>
    <row r="48" spans="1:6">
      <c r="A48" s="14"/>
      <c r="B48" s="14"/>
      <c r="C48" s="14"/>
      <c r="E48" s="14"/>
      <c r="F48" s="14"/>
    </row>
    <row r="49" spans="1:6">
      <c r="A49" s="14"/>
      <c r="B49" s="14"/>
      <c r="C49" s="14"/>
      <c r="E49" s="14"/>
      <c r="F49" s="14"/>
    </row>
    <row r="50" spans="1:6">
      <c r="A50" s="14"/>
      <c r="B50" s="14"/>
      <c r="C50" s="14"/>
      <c r="E50" s="14"/>
      <c r="F50" s="14"/>
    </row>
    <row r="51" spans="1:6">
      <c r="A51" s="14"/>
      <c r="B51" s="14"/>
      <c r="C51" s="14"/>
      <c r="E51" s="14"/>
      <c r="F51" s="14"/>
    </row>
    <row r="52" spans="1:6">
      <c r="A52" s="14"/>
      <c r="B52" s="14"/>
      <c r="C52" s="14"/>
      <c r="E52" s="14"/>
      <c r="F52" s="14"/>
    </row>
    <row r="53" spans="1:6">
      <c r="A53" s="14"/>
      <c r="B53" s="14"/>
      <c r="C53" s="14"/>
      <c r="E53" s="14"/>
      <c r="F53" s="14"/>
    </row>
    <row r="54" spans="1:6">
      <c r="A54" s="14"/>
      <c r="B54" s="14"/>
      <c r="C54" s="14"/>
      <c r="E54" s="14"/>
      <c r="F54" s="14"/>
    </row>
    <row r="55" spans="1:6">
      <c r="A55" s="14"/>
      <c r="B55" s="14"/>
      <c r="C55" s="14"/>
      <c r="E55" s="14"/>
      <c r="F55" s="14"/>
    </row>
    <row r="56" spans="1:6">
      <c r="A56" s="14"/>
      <c r="B56" s="14"/>
      <c r="C56" s="14"/>
      <c r="E56" s="14"/>
      <c r="F56" s="14"/>
    </row>
  </sheetData>
  <sheetProtection algorithmName="SHA-512" hashValue="K/qZTZKPto8hn1uCaQ0pvEVFUwD+GRFlMGeX5+6LBGGsrKWv0gdTE7Mc8CTbExS4B/mIvPSNnv0MPAzZRURa5w==" saltValue="pt7CqdIFHNZzAFbo+b+/qA==" spinCount="100000" deleteRows="0"/>
  <mergeCells count="30">
    <mergeCell ref="C1:K1"/>
    <mergeCell ref="C2:K2"/>
    <mergeCell ref="I8:J8"/>
    <mergeCell ref="A4:B4"/>
    <mergeCell ref="G4:H4"/>
    <mergeCell ref="A5:D5"/>
    <mergeCell ref="E4:F4"/>
    <mergeCell ref="E5:H5"/>
    <mergeCell ref="C6:H6"/>
    <mergeCell ref="K5:L5"/>
    <mergeCell ref="J6:L6"/>
    <mergeCell ref="I4:K4"/>
    <mergeCell ref="I5:J5"/>
    <mergeCell ref="A6:B6"/>
    <mergeCell ref="C30:E30"/>
    <mergeCell ref="K8:K9"/>
    <mergeCell ref="A8:A9"/>
    <mergeCell ref="L8:L9"/>
    <mergeCell ref="I28:J28"/>
    <mergeCell ref="I29:J29"/>
    <mergeCell ref="I30:J30"/>
    <mergeCell ref="A25:I25"/>
    <mergeCell ref="A26:I26"/>
    <mergeCell ref="J26:K26"/>
    <mergeCell ref="C28:E28"/>
    <mergeCell ref="C29:E29"/>
    <mergeCell ref="E8:F8"/>
    <mergeCell ref="G8:H8"/>
    <mergeCell ref="C8:C9"/>
    <mergeCell ref="B8:B9"/>
  </mergeCells>
  <conditionalFormatting sqref="I10:J24">
    <cfRule type="cellIs" dxfId="3" priority="6" operator="between">
      <formula>0.167361</formula>
      <formula>0.416666666666667</formula>
    </cfRule>
  </conditionalFormatting>
  <conditionalFormatting sqref="L26">
    <cfRule type="containsText" dxfId="2" priority="1" operator="containsText" text="¡VERIFICAR HORAS SEMANALES!">
      <formula>NOT(ISERROR(SEARCH("¡VERIFICAR HORAS SEMANALES!",L26)))</formula>
    </cfRule>
    <cfRule type="containsText" dxfId="1" priority="3" operator="containsText" text="¡SUPERA LAS 48 HORAS SUPLEMENTARIAS!">
      <formula>NOT(ISERROR(SEARCH("¡SUPERA LAS 48 HORAS SUPLEMENTARIAS!",L26)))</formula>
    </cfRule>
    <cfRule type="containsText" dxfId="0" priority="5" operator="containsText" text="¡SUPERA LAS 20 HORAS TOTALES!">
      <formula>NOT(ISERROR(SEARCH("¡SUPERA LAS 20 HORAS TOTALES!",L26)))</formula>
    </cfRule>
  </conditionalFormatting>
  <printOptions horizontalCentered="1"/>
  <pageMargins left="0.31496062992125984" right="0.31496062992125984" top="0.74803149606299213" bottom="0.74803149606299213" header="0.31496062992125984" footer="0.31496062992125984"/>
  <pageSetup paperSize="9" scale="82" orientation="landscape" horizontalDpi="4294967292" r:id="rId1"/>
  <ignoredErrors>
    <ignoredError xmlns:x16r3="http://schemas.microsoft.com/office/spreadsheetml/2018/08/main" sqref="H17:H24" x16r3:misleadingFormat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D24C774B-BA4D-4C3F-B194-B0412A97563F}">
          <x14:formula1>
            <xm:f>Hoja2!$F$3:$F$4</xm:f>
          </x14:formula1>
          <xm:sqref>D10:D24</xm:sqref>
        </x14:dataValidation>
        <x14:dataValidation type="list" allowBlank="1" showInputMessage="1" showErrorMessage="1" xr:uid="{AAFFC368-808F-429D-9C38-CAC38330867B}">
          <x14:formula1>
            <xm:f>Hoja2!$G$3:$G$8</xm:f>
          </x14:formula1>
          <xm:sqref>E10:E24</xm:sqref>
        </x14:dataValidation>
        <x14:dataValidation type="list" allowBlank="1" showInputMessage="1" showErrorMessage="1" xr:uid="{68452567-BADC-4006-B8DD-BA291AEC9671}">
          <x14:formula1>
            <xm:f>Hoja2!$H$3:$H$8</xm:f>
          </x14:formula1>
          <xm:sqref>F10:F24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2E160-77FA-4EE2-8EC3-4F42261DB1A4}">
  <dimension ref="B2:H29"/>
  <sheetViews>
    <sheetView topLeftCell="D1" workbookViewId="0">
      <selection activeCell="H16" sqref="H16"/>
    </sheetView>
  </sheetViews>
  <sheetFormatPr defaultColWidth="11.42578125" defaultRowHeight="14.45"/>
  <cols>
    <col min="4" max="4" width="18.5703125" customWidth="1"/>
    <col min="5" max="5" width="46.7109375" bestFit="1" customWidth="1"/>
  </cols>
  <sheetData>
    <row r="2" spans="2:8">
      <c r="B2" t="s">
        <v>59</v>
      </c>
      <c r="C2" t="s">
        <v>60</v>
      </c>
      <c r="D2" t="s">
        <v>61</v>
      </c>
      <c r="F2" t="s">
        <v>62</v>
      </c>
      <c r="G2" t="s">
        <v>63</v>
      </c>
    </row>
    <row r="3" spans="2:8">
      <c r="B3" t="s">
        <v>64</v>
      </c>
      <c r="C3">
        <v>2025</v>
      </c>
      <c r="D3" t="s">
        <v>65</v>
      </c>
      <c r="E3" s="6" t="s">
        <v>66</v>
      </c>
      <c r="F3" t="s">
        <v>67</v>
      </c>
      <c r="G3" s="23">
        <v>0</v>
      </c>
      <c r="H3" s="23">
        <v>0</v>
      </c>
    </row>
    <row r="4" spans="2:8">
      <c r="B4" t="s">
        <v>68</v>
      </c>
      <c r="C4">
        <v>2026</v>
      </c>
      <c r="D4" t="s">
        <v>69</v>
      </c>
      <c r="E4" s="6" t="s">
        <v>70</v>
      </c>
      <c r="F4" t="s">
        <v>53</v>
      </c>
      <c r="G4" s="23">
        <v>0.20833333333333334</v>
      </c>
      <c r="H4" s="23">
        <v>0.5625</v>
      </c>
    </row>
    <row r="5" spans="2:8">
      <c r="B5" t="s">
        <v>71</v>
      </c>
      <c r="C5">
        <v>2027</v>
      </c>
      <c r="E5" s="6" t="s">
        <v>72</v>
      </c>
      <c r="G5" s="23">
        <v>0.25</v>
      </c>
      <c r="H5" s="23">
        <v>0.60416666666666663</v>
      </c>
    </row>
    <row r="6" spans="2:8">
      <c r="B6" t="s">
        <v>73</v>
      </c>
      <c r="C6">
        <v>2028</v>
      </c>
      <c r="E6" s="6" t="s">
        <v>74</v>
      </c>
      <c r="G6" s="23">
        <v>0.33333333333333331</v>
      </c>
      <c r="H6" s="23">
        <v>0.6875</v>
      </c>
    </row>
    <row r="7" spans="2:8">
      <c r="B7" t="s">
        <v>75</v>
      </c>
      <c r="C7">
        <v>2029</v>
      </c>
      <c r="E7" s="6" t="s">
        <v>76</v>
      </c>
      <c r="G7" s="23">
        <v>0.41666666666666669</v>
      </c>
      <c r="H7" s="23">
        <v>0.77083333333333337</v>
      </c>
    </row>
    <row r="8" spans="2:8">
      <c r="B8" t="s">
        <v>77</v>
      </c>
      <c r="C8">
        <v>2030</v>
      </c>
      <c r="E8" s="6" t="s">
        <v>78</v>
      </c>
      <c r="G8" s="23">
        <v>0.5</v>
      </c>
      <c r="H8" s="23">
        <v>0.85416666666666663</v>
      </c>
    </row>
    <row r="9" spans="2:8">
      <c r="B9" t="s">
        <v>79</v>
      </c>
      <c r="C9">
        <v>2031</v>
      </c>
      <c r="E9" s="6" t="s">
        <v>80</v>
      </c>
    </row>
    <row r="10" spans="2:8">
      <c r="B10" t="s">
        <v>81</v>
      </c>
      <c r="C10">
        <v>2032</v>
      </c>
      <c r="E10" s="6" t="s">
        <v>82</v>
      </c>
    </row>
    <row r="11" spans="2:8">
      <c r="B11" t="s">
        <v>83</v>
      </c>
      <c r="C11">
        <v>2033</v>
      </c>
      <c r="E11" s="6" t="s">
        <v>84</v>
      </c>
    </row>
    <row r="12" spans="2:8">
      <c r="B12" t="s">
        <v>85</v>
      </c>
      <c r="C12">
        <v>2034</v>
      </c>
      <c r="E12" s="6" t="s">
        <v>86</v>
      </c>
    </row>
    <row r="13" spans="2:8">
      <c r="B13" t="s">
        <v>87</v>
      </c>
      <c r="C13">
        <v>2035</v>
      </c>
      <c r="E13" s="6" t="s">
        <v>88</v>
      </c>
    </row>
    <row r="14" spans="2:8">
      <c r="B14" t="s">
        <v>89</v>
      </c>
      <c r="E14" s="6" t="s">
        <v>90</v>
      </c>
    </row>
    <row r="15" spans="2:8">
      <c r="E15" s="6" t="s">
        <v>91</v>
      </c>
    </row>
    <row r="16" spans="2:8">
      <c r="E16" s="6" t="s">
        <v>92</v>
      </c>
    </row>
    <row r="17" spans="5:5">
      <c r="E17" s="6" t="s">
        <v>93</v>
      </c>
    </row>
    <row r="18" spans="5:5">
      <c r="E18" s="6" t="s">
        <v>94</v>
      </c>
    </row>
    <row r="19" spans="5:5">
      <c r="E19" s="6" t="s">
        <v>95</v>
      </c>
    </row>
    <row r="20" spans="5:5">
      <c r="E20" s="6" t="s">
        <v>96</v>
      </c>
    </row>
    <row r="21" spans="5:5">
      <c r="E21" s="6" t="s">
        <v>97</v>
      </c>
    </row>
    <row r="22" spans="5:5">
      <c r="E22" s="6" t="s">
        <v>98</v>
      </c>
    </row>
    <row r="23" spans="5:5">
      <c r="E23" s="6" t="s">
        <v>99</v>
      </c>
    </row>
    <row r="24" spans="5:5">
      <c r="E24" s="6" t="s">
        <v>100</v>
      </c>
    </row>
    <row r="25" spans="5:5">
      <c r="E25" s="6" t="s">
        <v>101</v>
      </c>
    </row>
    <row r="26" spans="5:5">
      <c r="E26" s="6" t="s">
        <v>102</v>
      </c>
    </row>
    <row r="27" spans="5:5">
      <c r="E27" s="6" t="s">
        <v>103</v>
      </c>
    </row>
    <row r="28" spans="5:5">
      <c r="E28" s="6" t="s">
        <v>104</v>
      </c>
    </row>
    <row r="29" spans="5:5">
      <c r="E29" s="15" t="s">
        <v>105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58503C180B79408DB858F3B1AC83A4" ma:contentTypeVersion="17" ma:contentTypeDescription="Create a new document." ma:contentTypeScope="" ma:versionID="f9f12f6bd98126fbd29bf543db87fd41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b56b57f6d733b2051704b18ac720fea8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2314E1-5C9C-406C-9337-CA33A611AC13}"/>
</file>

<file path=customXml/itemProps2.xml><?xml version="1.0" encoding="utf-8"?>
<ds:datastoreItem xmlns:ds="http://schemas.openxmlformats.org/officeDocument/2006/customXml" ds:itemID="{670CD7E0-ABDE-447A-9A85-F637363AAD2E}"/>
</file>

<file path=customXml/itemProps3.xml><?xml version="1.0" encoding="utf-8"?>
<ds:datastoreItem xmlns:ds="http://schemas.openxmlformats.org/officeDocument/2006/customXml" ds:itemID="{2645AFB7-B98E-4D9C-B75A-A3D4971807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Elizabeth Terán Cajas</dc:creator>
  <cp:keywords/>
  <dc:description/>
  <cp:lastModifiedBy>CARLA ANDREA BARRAGAN MONTERO</cp:lastModifiedBy>
  <cp:revision/>
  <dcterms:created xsi:type="dcterms:W3CDTF">2024-07-29T14:17:48Z</dcterms:created>
  <dcterms:modified xsi:type="dcterms:W3CDTF">2025-08-15T15:11:06Z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  <property fmtid="{D5CDD505-2E9C-101B-9397-08002B2CF9AE}" pid="3" name="MediaServiceImageTags">
    <vt:lpwstr/>
  </property>
</Properties>
</file>