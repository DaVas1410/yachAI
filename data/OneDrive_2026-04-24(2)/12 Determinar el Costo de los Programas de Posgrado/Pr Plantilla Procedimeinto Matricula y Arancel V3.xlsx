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yachaytecheduec-my.sharepoint.com/personal/mruiz_yachaytech_edu_ec/Documents/DGP/"/>
    </mc:Choice>
  </mc:AlternateContent>
  <xr:revisionPtr revIDLastSave="193" documentId="13_ncr:1_{016D1B64-DB2C-4D2A-BE47-683A0943E742}" xr6:coauthVersionLast="47" xr6:coauthVersionMax="47" xr10:uidLastSave="{6E3520D0-4877-4466-B7ED-E9B61EA80EDA}"/>
  <workbookProtection workbookAlgorithmName="SHA-512" workbookHashValue="+6D8EgfS1mCKOGsx5D9MFp3wH6DDePkTLZGMz2+ePvL1KvxrfBTDbijZV2x8xApknqA1zTciuMcsE6lZ+Nuf7Q==" workbookSaltValue="ZXghU/KJEuwI69iB2L3RPg==" workbookSpinCount="100000" lockStructure="1"/>
  <bookViews>
    <workbookView xWindow="-120" yWindow="-120" windowWidth="20730" windowHeight="11040" tabRatio="763" activeTab="1" xr2:uid="{00000000-000D-0000-FFFF-FFFF00000000}"/>
  </bookViews>
  <sheets>
    <sheet name="1. INSTRUCCIONES" sheetId="11" r:id="rId1"/>
    <sheet name="2. COSTOS PERSONAL" sheetId="2" r:id="rId2"/>
    <sheet name="3. COSTOS INFRAESTRUCTURA" sheetId="3" r:id="rId3"/>
    <sheet name="4. CÁLCULO" sheetId="12" r:id="rId4"/>
  </sheets>
  <definedNames>
    <definedName name="_xlnm.Print_Area" localSheetId="0">'1. INSTRUCCIONES'!$A$1:$C$19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F10" i="2"/>
  <c r="F11" i="2"/>
  <c r="F12" i="2"/>
  <c r="F69" i="2"/>
  <c r="F68" i="2"/>
  <c r="C64" i="2"/>
  <c r="C67" i="2" s="1"/>
  <c r="F67" i="2" s="1"/>
  <c r="C12" i="2"/>
  <c r="F55" i="2" l="1"/>
  <c r="F54" i="2"/>
  <c r="F53" i="2"/>
  <c r="F52" i="2"/>
  <c r="F51" i="2"/>
  <c r="F50" i="2"/>
  <c r="F49" i="2"/>
  <c r="F48" i="2"/>
  <c r="F45" i="2"/>
  <c r="F44" i="2"/>
  <c r="F43" i="2"/>
  <c r="F42" i="2"/>
  <c r="F41" i="2"/>
  <c r="F40" i="2"/>
  <c r="F39" i="2"/>
  <c r="F38" i="2"/>
  <c r="F35" i="2"/>
  <c r="F34" i="2"/>
  <c r="F33" i="2"/>
  <c r="F32" i="2"/>
  <c r="F31" i="2"/>
  <c r="F30" i="2"/>
  <c r="F29" i="2"/>
  <c r="F28" i="2"/>
  <c r="F25" i="2"/>
  <c r="F24" i="2"/>
  <c r="F23" i="2"/>
  <c r="F22" i="2"/>
  <c r="F21" i="2"/>
  <c r="F20" i="2"/>
  <c r="F19" i="2"/>
  <c r="F18" i="2"/>
  <c r="C3" i="2"/>
  <c r="D64" i="2"/>
  <c r="B30" i="3" l="1"/>
  <c r="B31" i="3"/>
  <c r="A16" i="12" l="1"/>
  <c r="C8" i="2" l="1"/>
  <c r="B10" i="3" l="1"/>
  <c r="B25" i="3"/>
  <c r="C2" i="2" l="1"/>
  <c r="C11" i="2" l="1"/>
  <c r="C10" i="2"/>
  <c r="C7" i="2"/>
  <c r="F13" i="2" l="1"/>
  <c r="F36" i="2" l="1"/>
  <c r="A32" i="12" l="1"/>
  <c r="A33" i="12" l="1"/>
  <c r="A34" i="12" l="1"/>
  <c r="A35" i="12" l="1"/>
  <c r="A36" i="12" l="1"/>
  <c r="A37" i="12" l="1"/>
  <c r="D56" i="2"/>
  <c r="C56" i="2"/>
  <c r="D46" i="2"/>
  <c r="C46" i="2"/>
  <c r="D36" i="2"/>
  <c r="C36" i="2"/>
  <c r="D26" i="2"/>
  <c r="D57" i="2" s="1"/>
  <c r="D65" i="2" s="1"/>
  <c r="C26" i="2"/>
  <c r="C57" i="2" l="1"/>
  <c r="C65" i="2" s="1"/>
  <c r="A38" i="12"/>
  <c r="B34" i="3" l="1"/>
  <c r="B16" i="12" s="1"/>
  <c r="B33" i="3"/>
  <c r="A39" i="12"/>
  <c r="A40" i="12" l="1"/>
  <c r="A41" i="12" l="1"/>
  <c r="A42" i="12" l="1"/>
  <c r="A43" i="12" l="1"/>
  <c r="F70" i="2" l="1"/>
  <c r="B14" i="12" s="1"/>
  <c r="B18" i="12" s="1"/>
  <c r="A44" i="12"/>
  <c r="A45" i="12" l="1"/>
  <c r="A46" i="12" l="1"/>
  <c r="A47" i="12" l="1"/>
  <c r="A48" i="12" l="1"/>
  <c r="A49" i="12" l="1"/>
  <c r="A50" i="12" l="1"/>
  <c r="F26" i="2" l="1"/>
  <c r="A51" i="12"/>
  <c r="B5" i="12"/>
  <c r="F56" i="2" l="1"/>
  <c r="F46" i="2"/>
  <c r="A52" i="12"/>
  <c r="B4" i="12"/>
  <c r="F57" i="2" l="1"/>
  <c r="A53" i="12"/>
  <c r="A54" i="12" l="1"/>
  <c r="B3" i="12"/>
  <c r="A55" i="12" l="1"/>
  <c r="A56" i="12" l="1"/>
  <c r="B12" i="12" l="1"/>
  <c r="B22" i="12" l="1"/>
  <c r="B23" i="12" s="1"/>
  <c r="B24" i="12" s="1"/>
  <c r="B34" i="12"/>
  <c r="B35" i="12"/>
  <c r="B33" i="12"/>
  <c r="B31" i="12"/>
  <c r="B32" i="12"/>
  <c r="B40" i="12"/>
  <c r="B54" i="12"/>
  <c r="B55" i="12"/>
  <c r="B36" i="12"/>
  <c r="B46" i="12"/>
  <c r="B45" i="12"/>
  <c r="B41" i="12"/>
  <c r="B47" i="12"/>
  <c r="B38" i="12"/>
  <c r="B43" i="12"/>
  <c r="B52" i="12"/>
  <c r="B53" i="12"/>
  <c r="B51" i="12"/>
  <c r="B56" i="12"/>
  <c r="B48" i="12"/>
  <c r="B49" i="12"/>
  <c r="B44" i="12"/>
  <c r="B37" i="12"/>
  <c r="B42" i="12"/>
  <c r="B50" i="12"/>
  <c r="B39" i="12"/>
  <c r="B25" i="12" l="1"/>
  <c r="B26" i="12" s="1"/>
  <c r="B27" i="12" s="1"/>
  <c r="C56" i="12" l="1"/>
  <c r="C51" i="12"/>
  <c r="C37" i="12"/>
  <c r="C48" i="12"/>
  <c r="C42" i="12"/>
  <c r="C33" i="12"/>
  <c r="C35" i="12"/>
  <c r="C47" i="12"/>
  <c r="C54" i="12"/>
  <c r="B28" i="12"/>
  <c r="C55" i="12"/>
  <c r="C41" i="12"/>
  <c r="C36" i="12"/>
  <c r="C32" i="12"/>
  <c r="C45" i="12"/>
  <c r="C39" i="12"/>
  <c r="C43" i="12"/>
  <c r="C50" i="12"/>
  <c r="C53" i="12"/>
  <c r="C44" i="12"/>
  <c r="C38" i="12"/>
  <c r="C52" i="12"/>
  <c r="C31" i="12"/>
  <c r="C40" i="12"/>
  <c r="C46" i="12"/>
  <c r="C49" i="12"/>
  <c r="C3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Lorena Condor Calvopiña</author>
  </authors>
  <commentList>
    <comment ref="C17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El cálculo de escenarios es opcional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MARÍA GABRIELA RUIZ HINOJOSA</author>
    <author>Silvia Lorena Condor Calvopiña</author>
  </authors>
  <commentList>
    <comment ref="C2" authorId="0" shapeId="0" xr:uid="{4E5A7DD5-7B87-4A5B-93C6-F5D208BDCEBC}">
      <text>
        <r>
          <rPr>
            <sz val="9"/>
            <color indexed="81"/>
            <rFont val="Tahoma"/>
            <family val="2"/>
          </rPr>
          <t>Meses = PAOs * 6</t>
        </r>
      </text>
    </comment>
    <comment ref="C3" authorId="0" shapeId="0" xr:uid="{D6881FFA-2C42-4315-A4EC-2DDF247601D1}">
      <text>
        <r>
          <rPr>
            <b/>
            <sz val="9"/>
            <color indexed="81"/>
            <rFont val="Tahoma"/>
            <family val="2"/>
          </rPr>
          <t>Porcentaje de Virtualidad</t>
        </r>
      </text>
    </comment>
    <comment ref="B7" authorId="0" shapeId="0" xr:uid="{02134E8A-A7EA-4E47-A587-067A91CD8BAF}">
      <text>
        <r>
          <rPr>
            <sz val="9"/>
            <color indexed="81"/>
            <rFont val="Tahoma"/>
            <family val="2"/>
          </rPr>
          <t>Con base en el Art. 70 del Reglamento de Carrera y Escalafón del Personal Académico del Sistema de Educación Superior (CES, 2021)</t>
        </r>
      </text>
    </comment>
    <comment ref="A11" authorId="0" shapeId="0" xr:uid="{EBB274B7-A619-45AC-8361-A64037247B02}">
      <text>
        <r>
          <rPr>
            <sz val="9"/>
            <color indexed="81"/>
            <rFont val="Tahoma"/>
            <family val="2"/>
          </rPr>
          <t>Técnico de laboratorio, técnico docente, técnico para mantenimiento y monitoreo de infraestructura tecnológica, ...</t>
        </r>
      </text>
    </comment>
    <comment ref="A16" authorId="1" shapeId="0" xr:uid="{00000000-0006-0000-0200-000001000000}">
      <text>
        <r>
          <rPr>
            <sz val="9"/>
            <color indexed="81"/>
            <rFont val="Tahoma"/>
            <family val="2"/>
          </rPr>
          <t>Ingresar nombres de las asignaturas de la Malla Curricular</t>
        </r>
      </text>
    </comment>
    <comment ref="B16" authorId="0" shapeId="0" xr:uid="{2853E867-83A8-471D-A915-CBEAFE5E67A8}">
      <text>
        <r>
          <rPr>
            <b/>
            <sz val="9"/>
            <color indexed="81"/>
            <rFont val="Tahoma"/>
            <family val="2"/>
          </rPr>
          <t>Magister o Doctor</t>
        </r>
      </text>
    </comment>
    <comment ref="C16" authorId="1" shapeId="0" xr:uid="{00000000-0006-0000-0200-000002000000}">
      <text>
        <r>
          <rPr>
            <sz val="9"/>
            <color indexed="81"/>
            <rFont val="Tahoma"/>
            <family val="2"/>
          </rPr>
          <t>Horas de Aprendizaje en Contacto con el Docente</t>
        </r>
      </text>
    </comment>
    <comment ref="D16" authorId="1" shapeId="0" xr:uid="{00000000-0006-0000-0200-000003000000}">
      <text>
        <r>
          <rPr>
            <sz val="9"/>
            <color indexed="81"/>
            <rFont val="Tahoma"/>
            <family val="2"/>
          </rPr>
          <t>Horas de Aprendizaje Práctico Experimental EN CONTACTO CON EL DOCENTE (ver Art. 22 del Reglamento de Régimen Académico (CES, 2022))</t>
        </r>
      </text>
    </comment>
    <comment ref="E16" authorId="0" shapeId="0" xr:uid="{1F64AB8C-28B8-417E-9E48-C8A8D4FCD7B6}">
      <text>
        <r>
          <rPr>
            <sz val="9"/>
            <color indexed="81"/>
            <rFont val="Tahoma"/>
            <family val="2"/>
          </rPr>
          <t>Horas de Aprendizaje Autónomo</t>
        </r>
      </text>
    </comment>
    <comment ref="F67" authorId="1" shapeId="0" xr:uid="{00000000-0006-0000-0200-000005000000}">
      <text>
        <r>
          <rPr>
            <sz val="9"/>
            <color indexed="81"/>
            <rFont val="Tahoma"/>
            <family val="2"/>
          </rPr>
          <t>Valor por graduado a cancelar al tutor, quien puede dirigir hasta máximo 3 proyectos de titulación de forma simultánea, acorde al Art.76 del Reglamento Integral de Posgrados.
(Valor Directriz del Vicerrectorado Académico)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uiGlT8mE+rWwrOuCKl+TCOcLgo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MARÍA GABRIELA RUIZ HINOJOSA</author>
  </authors>
  <commentList>
    <comment ref="B28" authorId="0" shapeId="0" xr:uid="{5E1D11A1-8837-4C0F-9CB4-DD435A196E8A}">
      <text>
        <r>
          <rPr>
            <sz val="9"/>
            <color indexed="81"/>
            <rFont val="Tahoma"/>
            <family val="2"/>
          </rPr>
          <t>RENDICIÓN DE CUENTAS 2023</t>
        </r>
      </text>
    </comment>
    <comment ref="B29" authorId="0" shapeId="0" xr:uid="{455627E6-72D1-45A1-9192-D1368B52FD65}">
      <text>
        <r>
          <rPr>
            <sz val="9"/>
            <color indexed="81"/>
            <rFont val="Tahoma"/>
            <family val="2"/>
          </rPr>
          <t>1730 Estudiantes + 182 Docentes + 160 Administrativos. Información proporcionada por TICs al 31 de mayo de 2023</t>
        </r>
      </text>
    </comment>
    <comment ref="B32" authorId="0" shapeId="0" xr:uid="{1D5C775C-F51D-4E9E-8349-FA17447D3827}">
      <text>
        <r>
          <rPr>
            <sz val="9"/>
            <color indexed="81"/>
            <rFont val="Tahoma"/>
            <family val="2"/>
          </rPr>
          <t>Número de laboratorios y aulas asignadas al programa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qwIIK7tTgjMCnLKiZRwDH/ivHf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MARÍA GABRIELA RUIZ HINOJOSA</author>
    <author>Silvia Lorena Condor Calvopiña</author>
  </authors>
  <commentList>
    <comment ref="B10" authorId="0" shapeId="0" xr:uid="{A21E89D0-B9A3-47FC-BB6F-78FA7AEAA5F0}">
      <text>
        <r>
          <rPr>
            <sz val="9"/>
            <color indexed="81"/>
            <rFont val="Tahoma"/>
            <family val="2"/>
          </rPr>
          <t>Debe corresponder a la matrícula + arancel de al menos un estudiante.</t>
        </r>
      </text>
    </comment>
    <comment ref="B20" authorId="1" shapeId="0" xr:uid="{00000000-0006-0000-0400-000003000000}">
      <text>
        <r>
          <rPr>
            <sz val="9"/>
            <color indexed="81"/>
            <rFont val="Tahoma"/>
            <family val="2"/>
          </rPr>
          <t>Para determinar el precio de mercado de cada programa se debe analizar el precio de los programas similares a nivel nacional y el precio a ofertar por el programa junto con las directrices de la Dirección General de Posgrados</t>
        </r>
      </text>
    </comment>
  </commentList>
</comments>
</file>

<file path=xl/sharedStrings.xml><?xml version="1.0" encoding="utf-8"?>
<sst xmlns="http://schemas.openxmlformats.org/spreadsheetml/2006/main" count="148" uniqueCount="140">
  <si>
    <t>PERSONAL ACADÉMICO</t>
  </si>
  <si>
    <t>ASIGNATURA</t>
  </si>
  <si>
    <t>Primer Nivel</t>
  </si>
  <si>
    <t>SUBTOTAL PRIMER NIVEL</t>
  </si>
  <si>
    <t>Segundo Nivel</t>
  </si>
  <si>
    <t>SUBTOTAL SEGUNDO NIVEL</t>
  </si>
  <si>
    <t>Tercer Nivel</t>
  </si>
  <si>
    <t>SUBTOTAL TERCER NIVEL</t>
  </si>
  <si>
    <t>Cuarto Nivel</t>
  </si>
  <si>
    <t>SUBTOTAL CUARTO NIVEL</t>
  </si>
  <si>
    <t>SUBTOTAL TOTAL</t>
  </si>
  <si>
    <t>COSTO FIJO</t>
  </si>
  <si>
    <t>COSTO VARIABLE</t>
  </si>
  <si>
    <t>Personal</t>
  </si>
  <si>
    <t>Horas mensuales</t>
  </si>
  <si>
    <t>Coordinador</t>
  </si>
  <si>
    <t>Secretaria</t>
  </si>
  <si>
    <t>DESCRIPCIÓN</t>
  </si>
  <si>
    <t>PAGADO</t>
  </si>
  <si>
    <t>Agua Potable</t>
  </si>
  <si>
    <t>Energia Electrica</t>
  </si>
  <si>
    <t>Seguridad</t>
  </si>
  <si>
    <t>Aseo</t>
  </si>
  <si>
    <t>Telecomunicaciones</t>
  </si>
  <si>
    <t>Mantenimiento de Areas Verdes y Arreglo de Vias Internas</t>
  </si>
  <si>
    <t>CANTIDAD</t>
  </si>
  <si>
    <t>Cantidad</t>
  </si>
  <si>
    <t>COSTO DEL PROGRAMA</t>
  </si>
  <si>
    <t>Costos Fijos</t>
  </si>
  <si>
    <t>Total (USD)</t>
  </si>
  <si>
    <t>Subtotal</t>
  </si>
  <si>
    <t>Costos Variables</t>
  </si>
  <si>
    <t>Otros</t>
  </si>
  <si>
    <t>DIRECCIÓN GENERAL DE POSGRADOS</t>
  </si>
  <si>
    <t>UNIVERSIDAD DE INVESTIGACIÓN DE TECNOLOGÍA EXPERIMENTAL YACHAY TECH</t>
  </si>
  <si>
    <t>Deserción</t>
  </si>
  <si>
    <t>Becas</t>
  </si>
  <si>
    <t>Ayudas económicas</t>
  </si>
  <si>
    <t>Hojas de Cálculo</t>
  </si>
  <si>
    <t>Celdas Habilitadas</t>
  </si>
  <si>
    <t>Detalle de Campos</t>
  </si>
  <si>
    <t>Número de aulas requeridas para el Programa</t>
  </si>
  <si>
    <t>Costos Fijos del Programa</t>
  </si>
  <si>
    <t>Costos Variables del Programa</t>
  </si>
  <si>
    <t>Asignaturas de Titulación</t>
  </si>
  <si>
    <t>TOTAL HORAS MALLA CURRICULAR</t>
  </si>
  <si>
    <t>SUBTOTAL TOTAL ASIGNATURAS</t>
  </si>
  <si>
    <t>SUBTOTAL ASIGNATURAS DE TITULACIÓN</t>
  </si>
  <si>
    <t>N° de Estudiantes</t>
  </si>
  <si>
    <t>Costos del Programa</t>
  </si>
  <si>
    <t>NOMBRE DEL PROGRAMA:</t>
  </si>
  <si>
    <t xml:space="preserve">Nombre del Programa Propuesto o Aprobado por el CES </t>
  </si>
  <si>
    <t>Duración del Programa (No. PAOs)</t>
  </si>
  <si>
    <t>PERSONAL</t>
  </si>
  <si>
    <t>Matrícula (10% del arancel)</t>
  </si>
  <si>
    <t>Ingresos x Matrícula + Arancel</t>
  </si>
  <si>
    <t>Otros costos de bienes e infraestructura</t>
  </si>
  <si>
    <t>Otros costos variables asociados al programa por estudiante</t>
  </si>
  <si>
    <t>Remuneración mensual</t>
  </si>
  <si>
    <t>N° Aulas + Laboratorios para el Programa (NA)</t>
  </si>
  <si>
    <t>Técnico</t>
  </si>
  <si>
    <t>Red Avanzada</t>
  </si>
  <si>
    <t>Data Center Virtual</t>
  </si>
  <si>
    <t>Mantenimiento centros de datos y equipos de switch</t>
  </si>
  <si>
    <t>Virtualización Data Center Hiperconvergent</t>
  </si>
  <si>
    <t>Office</t>
  </si>
  <si>
    <t>Antivirus</t>
  </si>
  <si>
    <t>Koha</t>
  </si>
  <si>
    <t>DSpace</t>
  </si>
  <si>
    <t>Scopus</t>
  </si>
  <si>
    <t>Scifinder y digitalia</t>
  </si>
  <si>
    <t>Herramienta antiplagio compilatio</t>
  </si>
  <si>
    <t>Profesor Magister</t>
  </si>
  <si>
    <t>Profesor Doctor</t>
  </si>
  <si>
    <t>Tipo Profesor</t>
  </si>
  <si>
    <t>Personal Académico - Unidad de Titulación - por estudiante</t>
  </si>
  <si>
    <t>Inscripción (1% de matrícula + arancel)</t>
  </si>
  <si>
    <t>Arancel + matrícula + inscripción</t>
  </si>
  <si>
    <t>Costo Publicidad</t>
  </si>
  <si>
    <t>TOTAL COSTO PERSONAL ADMINISTRATIVO</t>
  </si>
  <si>
    <t>Edificios, Locales, Residencias y Cableado Estructurado (Instalación, Mantenimiento y Reparación)</t>
  </si>
  <si>
    <t>INFRAESTRUCTURA-BIENES-2023</t>
  </si>
  <si>
    <t>Jurado 1/Comisión Ex. Complexivo</t>
  </si>
  <si>
    <t>Jurado 2//Comisión Ex. Complexivo</t>
  </si>
  <si>
    <t>Firewall</t>
  </si>
  <si>
    <t>Sistema de respaldos</t>
  </si>
  <si>
    <t>INFRAESTRUCTURA TECNOLÓGICA-2023</t>
  </si>
  <si>
    <t>Total (CABI)</t>
  </si>
  <si>
    <t>Costo Bienes e Infraestructuta por Aula por Hora (CBIAH)</t>
  </si>
  <si>
    <t>Porcentaje de presencialidad (%P)</t>
  </si>
  <si>
    <t>Costo de bienes e infraestructura (CTBI)</t>
  </si>
  <si>
    <t>Costo Infraestructuta Tecnológica por Persona (CTITP)</t>
  </si>
  <si>
    <t>Costo Infraestructuta Tecnológica por Persona por Hora (CITPH)</t>
  </si>
  <si>
    <t>Aulas + Laboratorios (NTA)</t>
  </si>
  <si>
    <t>Personas UITEY (NTP)</t>
  </si>
  <si>
    <t>Total (CAIT)</t>
  </si>
  <si>
    <t>4. CÁLCULO</t>
  </si>
  <si>
    <t>3. COSTOS INFRAESTRUCTURA</t>
  </si>
  <si>
    <t>2. COSTOS PERSONAL</t>
  </si>
  <si>
    <t>Nota: Solo Llenar las celdas de color cyan en todas las hojas de calculo.</t>
  </si>
  <si>
    <t>Matrícula + Arancel</t>
  </si>
  <si>
    <t>Otros costos fijos asociados al programa</t>
  </si>
  <si>
    <t>Número de Estudiantes (tamaño mínimo de la cohorte)</t>
  </si>
  <si>
    <t>Costo reactivos/materiales por estudiante</t>
  </si>
  <si>
    <t>Tutor/Tutor+coTutor</t>
  </si>
  <si>
    <t>Costo personal académico (CTPA)</t>
  </si>
  <si>
    <t>Costo personal administrativo (CTPAd)</t>
  </si>
  <si>
    <t>Costo bienes e infraestructura (CTBI)</t>
  </si>
  <si>
    <t xml:space="preserve">Arancel </t>
  </si>
  <si>
    <t>Total Costos Fijos (CF)</t>
  </si>
  <si>
    <t>Total  Costos Variables (CV)</t>
  </si>
  <si>
    <t>Precio de Mercado</t>
  </si>
  <si>
    <t>B1:C1</t>
  </si>
  <si>
    <t>B2</t>
  </si>
  <si>
    <t>Duración del Programa en Número de Períodos Académicos (o semestres)</t>
  </si>
  <si>
    <t>B3</t>
  </si>
  <si>
    <t>Porcentaje de presencialidad:</t>
  </si>
  <si>
    <t>B12, D9:E12</t>
  </si>
  <si>
    <t>Personal administrativo requerido.</t>
  </si>
  <si>
    <t>A18:G55</t>
  </si>
  <si>
    <t>Detalle de las asignaturas de titulación, con la misma estructura del rango anterior.</t>
  </si>
  <si>
    <t>B32</t>
  </si>
  <si>
    <t>B15, B17</t>
  </si>
  <si>
    <t>B20</t>
  </si>
  <si>
    <t>Precio referencial de mercado</t>
  </si>
  <si>
    <t>B21</t>
  </si>
  <si>
    <t>Precio del programa por estudiante (menor o igual al precio de mercado)</t>
  </si>
  <si>
    <t>Se ingresa las asignaturas por nivel (excepto las de Titulación):
- El código (Columna B) y nombre de asignatura (Columna C), 
- Número de horas según Malla Curricular (Columnas E, F, G )
- Lista desplegable elegir  Tipo de Profesor (Columna D)</t>
  </si>
  <si>
    <t>B59: E63</t>
  </si>
  <si>
    <t>B6:B11</t>
  </si>
  <si>
    <t>Esta Plantilla aplica para los Programas de Posgrado. El objetivo es obtener el valor de arancel, matrícula y cohorte mínima, luego de ingresar la información pertinente al programa según se detalla en el siguiente cuadro.</t>
  </si>
  <si>
    <t>HCD</t>
  </si>
  <si>
    <t>HAP</t>
  </si>
  <si>
    <t>HAA</t>
  </si>
  <si>
    <t>Valor Hora</t>
  </si>
  <si>
    <t>Costo sugerido del programa por estudiante</t>
  </si>
  <si>
    <t>Costo total del programa (CT)</t>
  </si>
  <si>
    <t>Costo Asignatura (CAi)</t>
  </si>
  <si>
    <t>Costos Unidad de Titulación</t>
  </si>
  <si>
    <t>Costo Personal Adminsitrativo (CPAdi)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</si>
</sst>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_-;\-* #,##0.00_-;_-* &quot;-&quot;??_-;_-@_-"/>
    <numFmt numFmtId="165" formatCode="_(&quot;$&quot;* #,##0.00_);_(&quot;$&quot;* \(#,##0.00\);_(&quot;$&quot;* &quot;-&quot;??_);_(@_)"/>
    <numFmt numFmtId="166" formatCode="_(&quot;$&quot;\ * #,##0.00_);_(&quot;$&quot;\ * \(#,##0.00\);_(&quot;$&quot;\ * &quot;-&quot;??_);_(@_)"/>
    <numFmt numFmtId="167" formatCode="_-* #,##0_-;\-* #,##0_-;_-* &quot;-&quot;??_-;_-@_-"/>
    <numFmt numFmtId="168" formatCode="_ * #,##0.000_ ;_ * \-#,##0.000_ ;_ * &quot;-&quot;??_ ;_ @_ "/>
  </numFmts>
  <fonts count="3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b/>
      <sz val="16"/>
      <color theme="1"/>
      <name val="Calibri"/>
      <family val="2"/>
    </font>
    <font>
      <b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 tint="-0.34998626667073579"/>
      <name val="Calibri"/>
      <family val="2"/>
    </font>
    <font>
      <sz val="11"/>
      <color rgb="FF00000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theme="8" tint="0.59999389629810485"/>
        <bgColor rgb="FFC5E0B3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rgb="FFE2EFD9"/>
      </patternFill>
    </fill>
    <fill>
      <patternFill patternType="solid">
        <fgColor rgb="FFCC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8A3"/>
        <bgColor indexed="64"/>
      </patternFill>
    </fill>
    <fill>
      <patternFill patternType="solid">
        <fgColor rgb="FFE7B29D"/>
        <bgColor indexed="64"/>
      </patternFill>
    </fill>
    <fill>
      <patternFill patternType="solid">
        <fgColor rgb="FFE2DEE2"/>
        <bgColor indexed="64"/>
      </patternFill>
    </fill>
    <fill>
      <patternFill patternType="solid">
        <fgColor rgb="FFA8BCDA"/>
        <bgColor indexed="64"/>
      </patternFill>
    </fill>
    <fill>
      <patternFill patternType="solid">
        <fgColor rgb="FFE7B29D"/>
        <bgColor rgb="FFF4B083"/>
      </patternFill>
    </fill>
    <fill>
      <patternFill patternType="solid">
        <fgColor rgb="FFA8BCDA"/>
        <bgColor rgb="FFC5E0B3"/>
      </patternFill>
    </fill>
    <fill>
      <patternFill patternType="solid">
        <fgColor rgb="FFFFF8A3"/>
        <bgColor rgb="FFFBE4D5"/>
      </patternFill>
    </fill>
    <fill>
      <patternFill patternType="solid">
        <fgColor rgb="FFDCD6DC"/>
        <bgColor rgb="FFD0CECE"/>
      </patternFill>
    </fill>
    <fill>
      <patternFill patternType="solid">
        <fgColor rgb="FFDCD6DC"/>
        <bgColor rgb="FFE2EFD9"/>
      </patternFill>
    </fill>
    <fill>
      <patternFill patternType="solid">
        <fgColor theme="1"/>
        <bgColor rgb="FFD0CECE"/>
      </patternFill>
    </fill>
    <fill>
      <patternFill patternType="solid">
        <fgColor rgb="FFA8BCDA"/>
        <bgColor rgb="FFF4B083"/>
      </patternFill>
    </fill>
    <fill>
      <patternFill patternType="solid">
        <fgColor theme="1"/>
        <bgColor rgb="FFD6DCE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BE4D5"/>
      </patternFill>
    </fill>
    <fill>
      <patternFill patternType="solid">
        <fgColor rgb="FFCCFFFF"/>
        <bgColor rgb="FFC6E0B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BE4D5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19" fillId="0" borderId="1"/>
    <xf numFmtId="164" fontId="2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5" fillId="0" borderId="1"/>
    <xf numFmtId="0" fontId="13" fillId="0" borderId="1"/>
    <xf numFmtId="9" fontId="13" fillId="0" borderId="1" applyFont="0" applyFill="0" applyBorder="0" applyAlignment="0" applyProtection="0"/>
    <xf numFmtId="164" fontId="13" fillId="0" borderId="1" applyFont="0" applyFill="0" applyBorder="0" applyAlignment="0" applyProtection="0"/>
    <xf numFmtId="44" fontId="13" fillId="0" borderId="1" applyFont="0" applyFill="0" applyBorder="0" applyAlignment="0" applyProtection="0"/>
    <xf numFmtId="9" fontId="25" fillId="0" borderId="0" applyFont="0" applyFill="0" applyBorder="0" applyAlignment="0" applyProtection="0"/>
  </cellStyleXfs>
  <cellXfs count="193">
    <xf numFmtId="0" fontId="0" fillId="0" borderId="0" xfId="0"/>
    <xf numFmtId="44" fontId="16" fillId="0" borderId="1" xfId="3" applyFont="1" applyFill="1" applyBorder="1" applyAlignment="1" applyProtection="1">
      <alignment vertical="center"/>
    </xf>
    <xf numFmtId="0" fontId="0" fillId="0" borderId="0" xfId="0" applyAlignment="1">
      <alignment vertical="center"/>
    </xf>
    <xf numFmtId="44" fontId="23" fillId="0" borderId="0" xfId="3" applyFont="1" applyAlignment="1" applyProtection="1">
      <alignment vertical="center"/>
    </xf>
    <xf numFmtId="44" fontId="0" fillId="0" borderId="16" xfId="3" applyFont="1" applyBorder="1" applyAlignment="1" applyProtection="1">
      <alignment vertical="center"/>
    </xf>
    <xf numFmtId="44" fontId="0" fillId="0" borderId="16" xfId="3" applyFont="1" applyFill="1" applyBorder="1" applyAlignment="1" applyProtection="1">
      <alignment vertical="center"/>
    </xf>
    <xf numFmtId="44" fontId="0" fillId="0" borderId="19" xfId="3" applyFont="1" applyBorder="1" applyAlignment="1" applyProtection="1">
      <alignment vertical="center"/>
    </xf>
    <xf numFmtId="9" fontId="11" fillId="0" borderId="2" xfId="9" applyFont="1" applyBorder="1" applyAlignment="1" applyProtection="1">
      <alignment vertical="center"/>
    </xf>
    <xf numFmtId="44" fontId="8" fillId="0" borderId="10" xfId="3" applyFont="1" applyBorder="1" applyAlignment="1" applyProtection="1">
      <alignment vertical="center"/>
    </xf>
    <xf numFmtId="0" fontId="15" fillId="0" borderId="0" xfId="0" applyFont="1" applyAlignment="1">
      <alignment vertical="center"/>
    </xf>
    <xf numFmtId="167" fontId="17" fillId="0" borderId="0" xfId="2" applyNumberFormat="1" applyFont="1" applyFill="1" applyAlignment="1" applyProtection="1">
      <alignment vertical="center"/>
    </xf>
    <xf numFmtId="44" fontId="23" fillId="0" borderId="33" xfId="3" applyFont="1" applyBorder="1" applyAlignment="1" applyProtection="1">
      <alignment vertical="center"/>
    </xf>
    <xf numFmtId="0" fontId="16" fillId="0" borderId="0" xfId="0" applyFont="1" applyAlignment="1">
      <alignment vertical="center"/>
    </xf>
    <xf numFmtId="0" fontId="15" fillId="0" borderId="1" xfId="0" applyFont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23" fillId="0" borderId="0" xfId="0" applyFont="1" applyAlignment="1">
      <alignment vertical="center"/>
    </xf>
    <xf numFmtId="0" fontId="23" fillId="3" borderId="2" xfId="4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23" fillId="2" borderId="2" xfId="0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44" fontId="11" fillId="0" borderId="2" xfId="0" applyNumberFormat="1" applyFont="1" applyBorder="1" applyAlignment="1">
      <alignment vertical="center"/>
    </xf>
    <xf numFmtId="44" fontId="23" fillId="19" borderId="2" xfId="0" applyNumberFormat="1" applyFont="1" applyFill="1" applyBorder="1" applyAlignment="1">
      <alignment vertical="center"/>
    </xf>
    <xf numFmtId="0" fontId="24" fillId="0" borderId="2" xfId="0" applyFont="1" applyBorder="1" applyAlignment="1">
      <alignment vertical="center"/>
    </xf>
    <xf numFmtId="44" fontId="11" fillId="0" borderId="1" xfId="0" applyNumberFormat="1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8" fillId="0" borderId="1" xfId="0" applyFont="1" applyBorder="1" applyAlignment="1">
      <alignment vertical="center"/>
    </xf>
    <xf numFmtId="165" fontId="23" fillId="0" borderId="1" xfId="0" applyNumberFormat="1" applyFont="1" applyBorder="1" applyAlignment="1">
      <alignment vertical="center"/>
    </xf>
    <xf numFmtId="0" fontId="23" fillId="15" borderId="2" xfId="0" applyFont="1" applyFill="1" applyBorder="1" applyAlignment="1">
      <alignment vertical="center"/>
    </xf>
    <xf numFmtId="165" fontId="23" fillId="15" borderId="2" xfId="0" applyNumberFormat="1" applyFont="1" applyFill="1" applyBorder="1" applyAlignment="1">
      <alignment vertical="center"/>
    </xf>
    <xf numFmtId="165" fontId="11" fillId="0" borderId="2" xfId="0" applyNumberFormat="1" applyFont="1" applyBorder="1" applyAlignment="1">
      <alignment vertical="center"/>
    </xf>
    <xf numFmtId="0" fontId="23" fillId="22" borderId="13" xfId="0" applyFont="1" applyFill="1" applyBorder="1" applyAlignment="1">
      <alignment vertical="center"/>
    </xf>
    <xf numFmtId="165" fontId="11" fillId="0" borderId="0" xfId="0" applyNumberFormat="1" applyFont="1" applyAlignment="1">
      <alignment vertical="center"/>
    </xf>
    <xf numFmtId="0" fontId="23" fillId="17" borderId="20" xfId="0" applyFont="1" applyFill="1" applyBorder="1" applyAlignment="1">
      <alignment vertical="center"/>
    </xf>
    <xf numFmtId="0" fontId="23" fillId="17" borderId="22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28" fillId="0" borderId="9" xfId="0" applyFont="1" applyBorder="1" applyAlignment="1">
      <alignment vertical="center" wrapText="1"/>
    </xf>
    <xf numFmtId="44" fontId="28" fillId="0" borderId="10" xfId="0" applyNumberFormat="1" applyFont="1" applyBorder="1" applyAlignment="1">
      <alignment vertical="center" wrapText="1"/>
    </xf>
    <xf numFmtId="0" fontId="24" fillId="0" borderId="0" xfId="0" applyFont="1" applyAlignment="1">
      <alignment vertical="center"/>
    </xf>
    <xf numFmtId="0" fontId="24" fillId="0" borderId="9" xfId="0" applyFont="1" applyBorder="1" applyAlignment="1">
      <alignment vertical="center"/>
    </xf>
    <xf numFmtId="44" fontId="24" fillId="0" borderId="10" xfId="0" applyNumberFormat="1" applyFont="1" applyBorder="1" applyAlignment="1">
      <alignment vertical="center"/>
    </xf>
    <xf numFmtId="0" fontId="24" fillId="0" borderId="9" xfId="0" applyFont="1" applyBorder="1" applyAlignment="1">
      <alignment vertical="center" wrapText="1"/>
    </xf>
    <xf numFmtId="0" fontId="23" fillId="0" borderId="9" xfId="0" applyFont="1" applyBorder="1" applyAlignment="1">
      <alignment vertical="center"/>
    </xf>
    <xf numFmtId="44" fontId="23" fillId="0" borderId="10" xfId="0" applyNumberFormat="1" applyFont="1" applyBorder="1" applyAlignment="1">
      <alignment vertical="center"/>
    </xf>
    <xf numFmtId="0" fontId="23" fillId="17" borderId="9" xfId="0" applyFont="1" applyFill="1" applyBorder="1" applyAlignment="1">
      <alignment vertical="center"/>
    </xf>
    <xf numFmtId="0" fontId="23" fillId="17" borderId="10" xfId="0" applyFont="1" applyFill="1" applyBorder="1" applyAlignment="1">
      <alignment vertical="center"/>
    </xf>
    <xf numFmtId="0" fontId="8" fillId="0" borderId="9" xfId="0" applyFont="1" applyBorder="1" applyAlignment="1">
      <alignment vertical="center" wrapText="1"/>
    </xf>
    <xf numFmtId="165" fontId="8" fillId="0" borderId="1" xfId="0" applyNumberFormat="1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23" fillId="0" borderId="11" xfId="0" applyFont="1" applyBorder="1" applyAlignment="1">
      <alignment vertical="center"/>
    </xf>
    <xf numFmtId="44" fontId="23" fillId="0" borderId="13" xfId="0" applyNumberFormat="1" applyFont="1" applyBorder="1" applyAlignment="1">
      <alignment vertical="center"/>
    </xf>
    <xf numFmtId="43" fontId="8" fillId="0" borderId="0" xfId="0" applyNumberFormat="1" applyFont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24" fillId="0" borderId="22" xfId="0" applyFont="1" applyBorder="1" applyAlignment="1">
      <alignment vertical="center"/>
    </xf>
    <xf numFmtId="166" fontId="8" fillId="0" borderId="0" xfId="0" applyNumberFormat="1" applyFont="1" applyAlignment="1">
      <alignment vertical="center"/>
    </xf>
    <xf numFmtId="0" fontId="4" fillId="0" borderId="8" xfId="0" applyFont="1" applyBorder="1" applyAlignment="1">
      <alignment vertical="center" wrapText="1"/>
    </xf>
    <xf numFmtId="0" fontId="24" fillId="0" borderId="27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44" fontId="8" fillId="0" borderId="24" xfId="0" applyNumberFormat="1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44" fontId="4" fillId="13" borderId="21" xfId="0" applyNumberFormat="1" applyFont="1" applyFill="1" applyBorder="1" applyAlignment="1">
      <alignment vertical="center"/>
    </xf>
    <xf numFmtId="0" fontId="23" fillId="13" borderId="22" xfId="0" applyFont="1" applyFill="1" applyBorder="1" applyAlignment="1">
      <alignment vertical="center"/>
    </xf>
    <xf numFmtId="0" fontId="4" fillId="0" borderId="11" xfId="0" applyFont="1" applyBorder="1" applyAlignment="1">
      <alignment vertical="center"/>
    </xf>
    <xf numFmtId="44" fontId="4" fillId="21" borderId="12" xfId="0" applyNumberFormat="1" applyFont="1" applyFill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26" fillId="6" borderId="2" xfId="0" applyFont="1" applyFill="1" applyBorder="1" applyAlignment="1">
      <alignment vertical="center"/>
    </xf>
    <xf numFmtId="0" fontId="16" fillId="0" borderId="2" xfId="0" applyFont="1" applyBorder="1" applyAlignment="1">
      <alignment vertical="center"/>
    </xf>
    <xf numFmtId="44" fontId="16" fillId="0" borderId="2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16" fillId="0" borderId="2" xfId="0" applyFont="1" applyBorder="1" applyAlignment="1">
      <alignment vertical="center" wrapText="1"/>
    </xf>
    <xf numFmtId="2" fontId="16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2" fontId="33" fillId="0" borderId="1" xfId="0" applyNumberFormat="1" applyFont="1" applyBorder="1" applyAlignment="1">
      <alignment horizontal="left" vertical="center"/>
    </xf>
    <xf numFmtId="0" fontId="16" fillId="0" borderId="18" xfId="0" applyFont="1" applyBorder="1" applyAlignment="1">
      <alignment vertical="center"/>
    </xf>
    <xf numFmtId="0" fontId="17" fillId="13" borderId="25" xfId="0" applyFont="1" applyFill="1" applyBorder="1" applyAlignment="1">
      <alignment vertical="center"/>
    </xf>
    <xf numFmtId="44" fontId="17" fillId="13" borderId="26" xfId="0" applyNumberFormat="1" applyFont="1" applyFill="1" applyBorder="1" applyAlignment="1">
      <alignment vertical="center"/>
    </xf>
    <xf numFmtId="0" fontId="17" fillId="13" borderId="5" xfId="0" applyFont="1" applyFill="1" applyBorder="1" applyAlignment="1">
      <alignment vertical="center"/>
    </xf>
    <xf numFmtId="0" fontId="26" fillId="18" borderId="7" xfId="0" applyFont="1" applyFill="1" applyBorder="1" applyAlignment="1">
      <alignment vertical="center"/>
    </xf>
    <xf numFmtId="43" fontId="16" fillId="0" borderId="1" xfId="0" applyNumberFormat="1" applyFont="1" applyBorder="1" applyAlignment="1">
      <alignment vertical="center"/>
    </xf>
    <xf numFmtId="43" fontId="16" fillId="0" borderId="0" xfId="0" applyNumberFormat="1" applyFont="1" applyAlignment="1">
      <alignment vertical="center"/>
    </xf>
    <xf numFmtId="0" fontId="12" fillId="0" borderId="18" xfId="0" applyFont="1" applyBorder="1" applyAlignment="1">
      <alignment vertical="center"/>
    </xf>
    <xf numFmtId="164" fontId="16" fillId="0" borderId="1" xfId="0" applyNumberFormat="1" applyFont="1" applyBorder="1" applyAlignment="1">
      <alignment vertical="center"/>
    </xf>
    <xf numFmtId="44" fontId="16" fillId="0" borderId="1" xfId="0" applyNumberFormat="1" applyFont="1" applyBorder="1" applyAlignment="1">
      <alignment vertical="center"/>
    </xf>
    <xf numFmtId="165" fontId="17" fillId="0" borderId="1" xfId="0" applyNumberFormat="1" applyFont="1" applyBorder="1" applyAlignment="1">
      <alignment vertical="center"/>
    </xf>
    <xf numFmtId="168" fontId="16" fillId="0" borderId="1" xfId="0" applyNumberFormat="1" applyFont="1" applyBorder="1" applyAlignment="1">
      <alignment vertical="center"/>
    </xf>
    <xf numFmtId="168" fontId="16" fillId="0" borderId="0" xfId="0" applyNumberFormat="1" applyFont="1" applyAlignment="1">
      <alignment vertical="center"/>
    </xf>
    <xf numFmtId="0" fontId="17" fillId="0" borderId="31" xfId="0" applyFont="1" applyBorder="1" applyAlignment="1">
      <alignment vertical="center"/>
    </xf>
    <xf numFmtId="0" fontId="16" fillId="5" borderId="15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44" fontId="17" fillId="0" borderId="1" xfId="0" applyNumberFormat="1" applyFont="1" applyBorder="1" applyAlignment="1">
      <alignment vertical="center"/>
    </xf>
    <xf numFmtId="0" fontId="16" fillId="0" borderId="20" xfId="0" applyFont="1" applyBorder="1" applyAlignment="1">
      <alignment vertical="center"/>
    </xf>
    <xf numFmtId="0" fontId="17" fillId="0" borderId="9" xfId="0" applyFont="1" applyBorder="1" applyAlignment="1">
      <alignment vertical="center" wrapText="1"/>
    </xf>
    <xf numFmtId="0" fontId="31" fillId="20" borderId="9" xfId="0" applyFont="1" applyFill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6" fillId="0" borderId="11" xfId="0" applyFont="1" applyBorder="1" applyAlignment="1">
      <alignment vertical="center" wrapText="1"/>
    </xf>
    <xf numFmtId="44" fontId="18" fillId="0" borderId="13" xfId="0" applyNumberFormat="1" applyFont="1" applyBorder="1" applyAlignment="1">
      <alignment vertical="center"/>
    </xf>
    <xf numFmtId="0" fontId="34" fillId="0" borderId="2" xfId="0" applyFont="1" applyBorder="1" applyAlignment="1">
      <alignment horizontal="left" vertical="center"/>
    </xf>
    <xf numFmtId="0" fontId="34" fillId="0" borderId="2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34" fillId="0" borderId="10" xfId="0" applyFont="1" applyBorder="1" applyAlignment="1">
      <alignment horizontal="left" vertical="center"/>
    </xf>
    <xf numFmtId="0" fontId="34" fillId="0" borderId="10" xfId="0" applyFont="1" applyBorder="1" applyAlignment="1">
      <alignment horizontal="left" vertical="center" wrapText="1"/>
    </xf>
    <xf numFmtId="0" fontId="34" fillId="0" borderId="12" xfId="0" applyFont="1" applyBorder="1" applyAlignment="1">
      <alignment horizontal="left" vertical="center" wrapText="1"/>
    </xf>
    <xf numFmtId="0" fontId="34" fillId="0" borderId="13" xfId="0" applyFont="1" applyBorder="1" applyAlignment="1">
      <alignment horizontal="left" vertical="center" wrapText="1"/>
    </xf>
    <xf numFmtId="0" fontId="34" fillId="0" borderId="18" xfId="0" applyFont="1" applyBorder="1" applyAlignment="1">
      <alignment horizontal="left" vertical="center" wrapText="1"/>
    </xf>
    <xf numFmtId="0" fontId="34" fillId="0" borderId="24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34" fillId="0" borderId="35" xfId="0" applyFont="1" applyBorder="1" applyAlignment="1">
      <alignment horizontal="left" vertical="center" wrapText="1"/>
    </xf>
    <xf numFmtId="0" fontId="3" fillId="8" borderId="25" xfId="0" applyFont="1" applyFill="1" applyBorder="1" applyAlignment="1">
      <alignment vertical="center" wrapText="1"/>
    </xf>
    <xf numFmtId="0" fontId="34" fillId="0" borderId="26" xfId="0" applyFont="1" applyBorder="1" applyAlignment="1">
      <alignment horizontal="left" vertical="center" wrapText="1"/>
    </xf>
    <xf numFmtId="0" fontId="34" fillId="0" borderId="36" xfId="0" applyFont="1" applyBorder="1" applyAlignment="1">
      <alignment horizontal="left" vertical="center" wrapText="1"/>
    </xf>
    <xf numFmtId="0" fontId="11" fillId="5" borderId="2" xfId="0" applyFont="1" applyFill="1" applyBorder="1" applyAlignment="1" applyProtection="1">
      <alignment vertical="center"/>
      <protection locked="0"/>
    </xf>
    <xf numFmtId="9" fontId="11" fillId="5" borderId="2" xfId="9" applyFont="1" applyFill="1" applyBorder="1" applyAlignment="1" applyProtection="1">
      <alignment vertical="center"/>
      <protection locked="0"/>
    </xf>
    <xf numFmtId="0" fontId="24" fillId="5" borderId="2" xfId="0" applyFont="1" applyFill="1" applyBorder="1" applyAlignment="1" applyProtection="1">
      <alignment vertical="center"/>
      <protection locked="0"/>
    </xf>
    <xf numFmtId="0" fontId="24" fillId="5" borderId="29" xfId="0" applyFont="1" applyFill="1" applyBorder="1" applyAlignment="1" applyProtection="1">
      <alignment vertical="center"/>
      <protection locked="0"/>
    </xf>
    <xf numFmtId="44" fontId="16" fillId="5" borderId="2" xfId="2" applyNumberFormat="1" applyFont="1" applyFill="1" applyBorder="1" applyAlignment="1" applyProtection="1">
      <alignment vertical="center"/>
      <protection locked="0"/>
    </xf>
    <xf numFmtId="44" fontId="16" fillId="5" borderId="18" xfId="0" applyNumberFormat="1" applyFont="1" applyFill="1" applyBorder="1" applyAlignment="1" applyProtection="1">
      <alignment vertical="center"/>
      <protection locked="0"/>
    </xf>
    <xf numFmtId="44" fontId="16" fillId="5" borderId="22" xfId="0" applyNumberFormat="1" applyFont="1" applyFill="1" applyBorder="1" applyAlignment="1" applyProtection="1">
      <alignment vertical="center"/>
      <protection locked="0"/>
    </xf>
    <xf numFmtId="44" fontId="17" fillId="23" borderId="10" xfId="0" applyNumberFormat="1" applyFont="1" applyFill="1" applyBorder="1" applyAlignment="1" applyProtection="1">
      <alignment vertical="center"/>
      <protection locked="0"/>
    </xf>
    <xf numFmtId="0" fontId="23" fillId="5" borderId="2" xfId="0" applyFont="1" applyFill="1" applyBorder="1" applyAlignment="1" applyProtection="1">
      <alignment vertical="center"/>
      <protection locked="0"/>
    </xf>
    <xf numFmtId="2" fontId="33" fillId="0" borderId="34" xfId="0" applyNumberFormat="1" applyFont="1" applyBorder="1" applyAlignment="1">
      <alignment vertical="center"/>
    </xf>
    <xf numFmtId="44" fontId="17" fillId="0" borderId="16" xfId="0" applyNumberFormat="1" applyFont="1" applyBorder="1" applyAlignment="1">
      <alignment vertical="center"/>
    </xf>
    <xf numFmtId="0" fontId="17" fillId="21" borderId="25" xfId="0" applyFont="1" applyFill="1" applyBorder="1" applyAlignment="1">
      <alignment vertical="center"/>
    </xf>
    <xf numFmtId="44" fontId="17" fillId="21" borderId="26" xfId="0" applyNumberFormat="1" applyFont="1" applyFill="1" applyBorder="1" applyAlignment="1">
      <alignment vertical="center"/>
    </xf>
    <xf numFmtId="0" fontId="17" fillId="21" borderId="5" xfId="0" applyFont="1" applyFill="1" applyBorder="1" applyAlignment="1">
      <alignment vertical="center"/>
    </xf>
    <xf numFmtId="0" fontId="30" fillId="24" borderId="9" xfId="0" applyFont="1" applyFill="1" applyBorder="1" applyAlignment="1">
      <alignment vertical="center"/>
    </xf>
    <xf numFmtId="0" fontId="17" fillId="0" borderId="23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23" fillId="17" borderId="1" xfId="0" applyFont="1" applyFill="1" applyBorder="1" applyAlignment="1">
      <alignment vertical="center"/>
    </xf>
    <xf numFmtId="0" fontId="23" fillId="12" borderId="1" xfId="0" applyFont="1" applyFill="1" applyBorder="1" applyAlignment="1">
      <alignment vertical="center"/>
    </xf>
    <xf numFmtId="0" fontId="24" fillId="10" borderId="1" xfId="0" applyFont="1" applyFill="1" applyBorder="1" applyAlignment="1">
      <alignment vertical="center"/>
    </xf>
    <xf numFmtId="0" fontId="23" fillId="0" borderId="2" xfId="0" applyFont="1" applyBorder="1" applyAlignment="1">
      <alignment vertical="center" wrapText="1"/>
    </xf>
    <xf numFmtId="0" fontId="27" fillId="16" borderId="2" xfId="0" applyFont="1" applyFill="1" applyBorder="1" applyAlignment="1">
      <alignment vertical="center"/>
    </xf>
    <xf numFmtId="0" fontId="23" fillId="4" borderId="2" xfId="0" applyFont="1" applyFill="1" applyBorder="1" applyAlignment="1">
      <alignment vertical="center"/>
    </xf>
    <xf numFmtId="44" fontId="23" fillId="15" borderId="2" xfId="0" applyNumberFormat="1" applyFont="1" applyFill="1" applyBorder="1" applyAlignment="1">
      <alignment vertical="center"/>
    </xf>
    <xf numFmtId="44" fontId="27" fillId="16" borderId="2" xfId="0" applyNumberFormat="1" applyFont="1" applyFill="1" applyBorder="1" applyAlignment="1">
      <alignment vertical="center"/>
    </xf>
    <xf numFmtId="0" fontId="23" fillId="11" borderId="2" xfId="0" applyFont="1" applyFill="1" applyBorder="1" applyAlignment="1">
      <alignment vertical="center"/>
    </xf>
    <xf numFmtId="44" fontId="23" fillId="13" borderId="2" xfId="0" applyNumberFormat="1" applyFont="1" applyFill="1" applyBorder="1" applyAlignment="1">
      <alignment vertical="center"/>
    </xf>
    <xf numFmtId="165" fontId="24" fillId="0" borderId="2" xfId="0" applyNumberFormat="1" applyFont="1" applyBorder="1" applyAlignment="1">
      <alignment vertical="center"/>
    </xf>
    <xf numFmtId="0" fontId="11" fillId="11" borderId="2" xfId="0" applyFont="1" applyFill="1" applyBorder="1" applyAlignment="1">
      <alignment vertical="center"/>
    </xf>
    <xf numFmtId="165" fontId="23" fillId="22" borderId="2" xfId="0" applyNumberFormat="1" applyFont="1" applyFill="1" applyBorder="1" applyAlignment="1">
      <alignment vertical="center"/>
    </xf>
    <xf numFmtId="0" fontId="23" fillId="22" borderId="2" xfId="0" applyFont="1" applyFill="1" applyBorder="1" applyAlignment="1">
      <alignment vertical="center"/>
    </xf>
    <xf numFmtId="0" fontId="23" fillId="13" borderId="2" xfId="0" applyFont="1" applyFill="1" applyBorder="1" applyAlignment="1">
      <alignment vertical="center"/>
    </xf>
    <xf numFmtId="0" fontId="23" fillId="13" borderId="6" xfId="0" applyFont="1" applyFill="1" applyBorder="1" applyAlignment="1">
      <alignment vertical="center"/>
    </xf>
    <xf numFmtId="44" fontId="23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44" fontId="11" fillId="5" borderId="2" xfId="0" applyNumberFormat="1" applyFont="1" applyFill="1" applyBorder="1" applyAlignment="1" applyProtection="1">
      <alignment vertical="center"/>
      <protection locked="0"/>
    </xf>
    <xf numFmtId="0" fontId="23" fillId="0" borderId="2" xfId="0" applyFont="1" applyBorder="1" applyAlignment="1">
      <alignment vertical="center"/>
    </xf>
    <xf numFmtId="44" fontId="32" fillId="25" borderId="10" xfId="0" applyNumberFormat="1" applyFont="1" applyFill="1" applyBorder="1" applyAlignment="1">
      <alignment vertical="center"/>
    </xf>
    <xf numFmtId="44" fontId="30" fillId="24" borderId="10" xfId="3" applyFont="1" applyFill="1" applyBorder="1" applyAlignment="1" applyProtection="1">
      <alignment vertical="center"/>
    </xf>
    <xf numFmtId="44" fontId="31" fillId="20" borderId="10" xfId="3" applyFont="1" applyFill="1" applyBorder="1" applyAlignment="1" applyProtection="1">
      <alignment vertical="center"/>
    </xf>
    <xf numFmtId="44" fontId="17" fillId="0" borderId="10" xfId="3" applyFont="1" applyFill="1" applyBorder="1" applyAlignment="1" applyProtection="1">
      <alignment vertical="center"/>
    </xf>
    <xf numFmtId="44" fontId="26" fillId="6" borderId="2" xfId="0" applyNumberFormat="1" applyFont="1" applyFill="1" applyBorder="1" applyAlignment="1">
      <alignment vertical="center"/>
    </xf>
    <xf numFmtId="44" fontId="26" fillId="18" borderId="7" xfId="0" applyNumberFormat="1" applyFont="1" applyFill="1" applyBorder="1" applyAlignment="1">
      <alignment vertical="center"/>
    </xf>
    <xf numFmtId="44" fontId="23" fillId="0" borderId="0" xfId="0" applyNumberFormat="1" applyFont="1" applyAlignment="1">
      <alignment vertical="center"/>
    </xf>
    <xf numFmtId="44" fontId="17" fillId="0" borderId="32" xfId="2" applyNumberFormat="1" applyFont="1" applyFill="1" applyBorder="1" applyAlignment="1" applyProtection="1">
      <alignment vertical="center"/>
    </xf>
    <xf numFmtId="44" fontId="0" fillId="0" borderId="1" xfId="3" applyFont="1" applyBorder="1" applyAlignment="1" applyProtection="1">
      <alignment vertical="center"/>
    </xf>
    <xf numFmtId="44" fontId="0" fillId="0" borderId="1" xfId="3" applyFont="1" applyFill="1" applyBorder="1" applyAlignment="1" applyProtection="1">
      <alignment vertical="center"/>
    </xf>
    <xf numFmtId="44" fontId="0" fillId="0" borderId="30" xfId="3" applyFont="1" applyBorder="1" applyAlignment="1" applyProtection="1">
      <alignment vertical="center"/>
    </xf>
    <xf numFmtId="44" fontId="16" fillId="0" borderId="0" xfId="0" applyNumberFormat="1" applyFont="1" applyAlignment="1">
      <alignment vertical="center"/>
    </xf>
    <xf numFmtId="44" fontId="0" fillId="0" borderId="0" xfId="0" applyNumberFormat="1" applyAlignment="1">
      <alignment vertical="center"/>
    </xf>
    <xf numFmtId="0" fontId="17" fillId="0" borderId="10" xfId="0" applyFont="1" applyBorder="1" applyAlignment="1">
      <alignment vertical="center"/>
    </xf>
    <xf numFmtId="44" fontId="1" fillId="0" borderId="2" xfId="0" applyNumberFormat="1" applyFont="1" applyBorder="1" applyAlignment="1">
      <alignment vertical="center"/>
    </xf>
    <xf numFmtId="0" fontId="11" fillId="5" borderId="2" xfId="0" applyFont="1" applyFill="1" applyBorder="1" applyAlignment="1">
      <alignment vertical="center"/>
    </xf>
    <xf numFmtId="0" fontId="23" fillId="5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9" borderId="8" xfId="0" applyFont="1" applyFill="1" applyBorder="1" applyAlignment="1">
      <alignment vertical="center" wrapText="1"/>
    </xf>
    <xf numFmtId="0" fontId="14" fillId="9" borderId="9" xfId="0" applyFont="1" applyFill="1" applyBorder="1" applyAlignment="1">
      <alignment vertical="center" wrapText="1"/>
    </xf>
    <xf numFmtId="0" fontId="14" fillId="9" borderId="11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horizontal="left" vertical="center" wrapText="1"/>
    </xf>
    <xf numFmtId="0" fontId="3" fillId="7" borderId="23" xfId="0" applyFont="1" applyFill="1" applyBorder="1" applyAlignment="1">
      <alignment horizontal="left" vertical="center" wrapText="1"/>
    </xf>
    <xf numFmtId="0" fontId="23" fillId="14" borderId="2" xfId="0" applyFont="1" applyFill="1" applyBorder="1" applyAlignment="1">
      <alignment vertical="center"/>
    </xf>
    <xf numFmtId="1" fontId="6" fillId="5" borderId="3" xfId="0" applyNumberFormat="1" applyFont="1" applyFill="1" applyBorder="1" applyAlignment="1" applyProtection="1">
      <alignment vertical="center"/>
      <protection locked="0"/>
    </xf>
    <xf numFmtId="1" fontId="11" fillId="5" borderId="6" xfId="0" applyNumberFormat="1" applyFont="1" applyFill="1" applyBorder="1" applyAlignment="1" applyProtection="1">
      <alignment vertical="center"/>
      <protection locked="0"/>
    </xf>
    <xf numFmtId="0" fontId="17" fillId="12" borderId="2" xfId="0" applyFont="1" applyFill="1" applyBorder="1" applyAlignment="1">
      <alignment vertical="center"/>
    </xf>
    <xf numFmtId="0" fontId="18" fillId="10" borderId="2" xfId="0" applyFont="1" applyFill="1" applyBorder="1" applyAlignment="1">
      <alignment vertical="center"/>
    </xf>
  </cellXfs>
  <cellStyles count="10">
    <cellStyle name="Millares" xfId="2" builtinId="3"/>
    <cellStyle name="Millares 2" xfId="7" xr:uid="{54449D8E-BBD8-48E4-8CF1-4F749E445AFB}"/>
    <cellStyle name="Moneda" xfId="3" builtinId="4"/>
    <cellStyle name="Moneda 2" xfId="8" xr:uid="{EE449A18-E8DD-4CB3-B05C-2811E10D6C1C}"/>
    <cellStyle name="Normal" xfId="0" builtinId="0"/>
    <cellStyle name="Normal 2" xfId="1" xr:uid="{00000000-0005-0000-0000-000003000000}"/>
    <cellStyle name="Normal 2 2" xfId="5" xr:uid="{32C3F95A-6EB6-4D50-A9BE-EF7D3033E684}"/>
    <cellStyle name="Normal 3" xfId="4" xr:uid="{BF7B0703-7970-4900-AC05-95F00CA231F1}"/>
    <cellStyle name="Porcentaje" xfId="9" builtinId="5"/>
    <cellStyle name="Porcentaje 2" xfId="6" xr:uid="{0CC49ADC-8AFB-463D-A1DC-077B9B5D1123}"/>
  </cellStyles>
  <dxfs count="2"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fgColor theme="8" tint="0.39994506668294322"/>
          <bgColor theme="8" tint="0.59996337778862885"/>
        </patternFill>
      </fill>
    </dxf>
  </dxfs>
  <tableStyles count="0" defaultTableStyle="TableStyleMedium2" defaultPivotStyle="PivotStyleLight16"/>
  <colors>
    <mruColors>
      <color rgb="FFCCFFFF"/>
      <color rgb="FFDCD6DC"/>
      <color rgb="FFFFF8A3"/>
      <color rgb="FFA8BCDA"/>
      <color rgb="FFE7B29D"/>
      <color rgb="FFE2DEE2"/>
      <color rgb="FFC0C0C1"/>
      <color rgb="FFBAC0C6"/>
      <color rgb="FFFFEEA7"/>
      <color rgb="FFFFFF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Punto de Equilibrio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0.17072433282440452"/>
          <c:y val="0.11594372596106102"/>
          <c:w val="0.63094137945861539"/>
          <c:h val="0.75201514842882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'4. CÁLCULO'!$B$30</c:f>
              <c:strCache>
                <c:ptCount val="1"/>
                <c:pt idx="0">
                  <c:v> Costos del Programa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'4. CÁLCULO'!$A$31:$A$56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xVal>
          <c:yVal>
            <c:numRef>
              <c:f>'4. CÁLCULO'!$B$31:$B$56</c:f>
              <c:numCache>
                <c:formatCode>_("$"* #,##0.00_);_("$"* \(#,##0.00\);_("$"* "-"??_);_(@_)</c:formatCode>
                <c:ptCount val="26"/>
                <c:pt idx="0">
                  <c:v>0</c:v>
                </c:pt>
                <c:pt idx="1">
                  <c:v>331.29500000000002</c:v>
                </c:pt>
                <c:pt idx="2">
                  <c:v>662.59</c:v>
                </c:pt>
                <c:pt idx="3">
                  <c:v>993.88499999999999</c:v>
                </c:pt>
                <c:pt idx="4">
                  <c:v>1325.18</c:v>
                </c:pt>
                <c:pt idx="5">
                  <c:v>1656.4750000000001</c:v>
                </c:pt>
                <c:pt idx="6">
                  <c:v>1987.77</c:v>
                </c:pt>
                <c:pt idx="7">
                  <c:v>2319.0650000000001</c:v>
                </c:pt>
                <c:pt idx="8">
                  <c:v>2650.36</c:v>
                </c:pt>
                <c:pt idx="9">
                  <c:v>2981.6550000000002</c:v>
                </c:pt>
                <c:pt idx="10">
                  <c:v>3312.9500000000003</c:v>
                </c:pt>
                <c:pt idx="11">
                  <c:v>3644.2450000000003</c:v>
                </c:pt>
                <c:pt idx="12">
                  <c:v>3975.54</c:v>
                </c:pt>
                <c:pt idx="13">
                  <c:v>4306.835</c:v>
                </c:pt>
                <c:pt idx="14">
                  <c:v>4638.13</c:v>
                </c:pt>
                <c:pt idx="15">
                  <c:v>4969.4250000000002</c:v>
                </c:pt>
                <c:pt idx="16">
                  <c:v>5300.72</c:v>
                </c:pt>
                <c:pt idx="17">
                  <c:v>5632.0150000000003</c:v>
                </c:pt>
                <c:pt idx="18">
                  <c:v>5963.31</c:v>
                </c:pt>
                <c:pt idx="19">
                  <c:v>6294.6050000000005</c:v>
                </c:pt>
                <c:pt idx="20">
                  <c:v>6625.9000000000005</c:v>
                </c:pt>
                <c:pt idx="21">
                  <c:v>6957.1950000000006</c:v>
                </c:pt>
                <c:pt idx="22">
                  <c:v>7288.4900000000007</c:v>
                </c:pt>
                <c:pt idx="23">
                  <c:v>7619.7850000000008</c:v>
                </c:pt>
                <c:pt idx="24">
                  <c:v>7951.08</c:v>
                </c:pt>
                <c:pt idx="25">
                  <c:v>8282.375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91-4F17-AE4B-A79A5A16E616}"/>
            </c:ext>
          </c:extLst>
        </c:ser>
        <c:ser>
          <c:idx val="1"/>
          <c:order val="1"/>
          <c:tx>
            <c:strRef>
              <c:f>'4. CÁLCULO'!$C$30</c:f>
              <c:strCache>
                <c:ptCount val="1"/>
                <c:pt idx="0">
                  <c:v> Ingresos x Matrícula + Arancel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'4. CÁLCULO'!$A$31:$A$56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xVal>
          <c:yVal>
            <c:numRef>
              <c:f>'4. CÁLCULO'!$C$31:$C$56</c:f>
              <c:numCache>
                <c:formatCode>_("$"* #,##0.00_);_("$"* \(#,##0.00\);_("$"*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91-4F17-AE4B-A79A5A16E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744272"/>
        <c:axId val="1193741360"/>
      </c:scatterChart>
      <c:valAx>
        <c:axId val="119374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Número de Estudiantes</a:t>
                </a:r>
              </a:p>
            </c:rich>
          </c:tx>
          <c:layout>
            <c:manualLayout>
              <c:xMode val="edge"/>
              <c:yMode val="edge"/>
              <c:x val="0.3641938233746414"/>
              <c:y val="0.93893376234481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93741360"/>
        <c:crosses val="autoZero"/>
        <c:crossBetween val="midCat"/>
      </c:valAx>
      <c:valAx>
        <c:axId val="119374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Ingresos por Matrícula + Arancel</a:t>
                </a:r>
              </a:p>
            </c:rich>
          </c:tx>
          <c:layout>
            <c:manualLayout>
              <c:xMode val="edge"/>
              <c:yMode val="edge"/>
              <c:x val="3.6838753754686322E-2"/>
              <c:y val="0.352059167372216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_(&quot;$&quot;* #,##0.00_);_(&quot;$&quot;* \(#,##0.00\);_(&quot;$&quot;* &quot;-&quot;??_);_(@_)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93744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408215707539543"/>
          <c:y val="0.41315173325166965"/>
          <c:w val="0.19591784559751033"/>
          <c:h val="0.10539873824853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1438275</xdr:colOff>
      <xdr:row>2</xdr:row>
      <xdr:rowOff>49530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4CD3EF3-C347-482C-B2B4-8A0EB4CA71EA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7" t="607" r="56704" b="90996"/>
        <a:stretch/>
      </xdr:blipFill>
      <xdr:spPr>
        <a:xfrm>
          <a:off x="0" y="0"/>
          <a:ext cx="1438275" cy="4457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818029</xdr:colOff>
      <xdr:row>30</xdr:row>
      <xdr:rowOff>29134</xdr:rowOff>
    </xdr:from>
    <xdr:to>
      <xdr:col>8</xdr:col>
      <xdr:colOff>661147</xdr:colOff>
      <xdr:row>54</xdr:row>
      <xdr:rowOff>56029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showGridLines="0" zoomScaleNormal="100" workbookViewId="0">
      <selection activeCell="A6" sqref="A6"/>
    </sheetView>
  </sheetViews>
  <sheetFormatPr baseColWidth="10" defaultColWidth="11.5703125" defaultRowHeight="15" x14ac:dyDescent="0.25"/>
  <cols>
    <col min="1" max="1" width="26.85546875" style="2" customWidth="1"/>
    <col min="2" max="2" width="17.42578125" style="2" customWidth="1"/>
    <col min="3" max="3" width="70.28515625" style="2" customWidth="1"/>
    <col min="4" max="4" width="18.28515625" style="2" customWidth="1"/>
    <col min="5" max="16384" width="11.5703125" style="2"/>
  </cols>
  <sheetData>
    <row r="1" spans="1:4" ht="15.75" x14ac:dyDescent="0.25">
      <c r="B1" s="13" t="s">
        <v>34</v>
      </c>
      <c r="C1" s="13"/>
    </row>
    <row r="2" spans="1:4" ht="15.75" x14ac:dyDescent="0.25">
      <c r="B2" s="9" t="s">
        <v>33</v>
      </c>
      <c r="C2" s="9"/>
    </row>
    <row r="3" spans="1:4" x14ac:dyDescent="0.25">
      <c r="A3" s="181" t="s">
        <v>130</v>
      </c>
      <c r="B3" s="182"/>
      <c r="C3" s="182"/>
    </row>
    <row r="4" spans="1:4" x14ac:dyDescent="0.25">
      <c r="A4" s="182"/>
      <c r="B4" s="182"/>
      <c r="C4" s="182"/>
    </row>
    <row r="5" spans="1:4" ht="15.75" thickBot="1" x14ac:dyDescent="0.3">
      <c r="A5" s="182"/>
      <c r="B5" s="182"/>
      <c r="C5" s="182"/>
    </row>
    <row r="6" spans="1:4" x14ac:dyDescent="0.25">
      <c r="A6" s="111" t="s">
        <v>38</v>
      </c>
      <c r="B6" s="112" t="s">
        <v>39</v>
      </c>
      <c r="C6" s="113" t="s">
        <v>40</v>
      </c>
      <c r="D6" s="15"/>
    </row>
    <row r="7" spans="1:4" x14ac:dyDescent="0.25">
      <c r="A7" s="186" t="s">
        <v>98</v>
      </c>
      <c r="B7" s="109" t="s">
        <v>112</v>
      </c>
      <c r="C7" s="114" t="s">
        <v>51</v>
      </c>
      <c r="D7" s="15"/>
    </row>
    <row r="8" spans="1:4" x14ac:dyDescent="0.25">
      <c r="A8" s="186"/>
      <c r="B8" s="110" t="s">
        <v>113</v>
      </c>
      <c r="C8" s="115" t="s">
        <v>114</v>
      </c>
      <c r="D8" s="14"/>
    </row>
    <row r="9" spans="1:4" x14ac:dyDescent="0.25">
      <c r="A9" s="186"/>
      <c r="B9" s="110" t="s">
        <v>115</v>
      </c>
      <c r="C9" s="115" t="s">
        <v>116</v>
      </c>
      <c r="D9" s="14"/>
    </row>
    <row r="10" spans="1:4" x14ac:dyDescent="0.25">
      <c r="A10" s="186"/>
      <c r="B10" s="110" t="s">
        <v>117</v>
      </c>
      <c r="C10" s="115" t="s">
        <v>118</v>
      </c>
      <c r="D10" s="14"/>
    </row>
    <row r="11" spans="1:4" ht="60" x14ac:dyDescent="0.25">
      <c r="A11" s="186"/>
      <c r="B11" s="110" t="s">
        <v>119</v>
      </c>
      <c r="C11" s="115" t="s">
        <v>127</v>
      </c>
      <c r="D11" s="14"/>
    </row>
    <row r="12" spans="1:4" ht="30.75" thickBot="1" x14ac:dyDescent="0.3">
      <c r="A12" s="187"/>
      <c r="B12" s="118" t="s">
        <v>128</v>
      </c>
      <c r="C12" s="119" t="s">
        <v>120</v>
      </c>
      <c r="D12" s="14"/>
    </row>
    <row r="13" spans="1:4" ht="30.75" thickBot="1" x14ac:dyDescent="0.3">
      <c r="A13" s="122" t="s">
        <v>97</v>
      </c>
      <c r="B13" s="123" t="s">
        <v>121</v>
      </c>
      <c r="C13" s="124" t="s">
        <v>41</v>
      </c>
      <c r="D13" s="14"/>
    </row>
    <row r="14" spans="1:4" x14ac:dyDescent="0.25">
      <c r="A14" s="183" t="s">
        <v>96</v>
      </c>
      <c r="B14" s="120" t="s">
        <v>129</v>
      </c>
      <c r="C14" s="121" t="s">
        <v>42</v>
      </c>
      <c r="D14" s="14"/>
    </row>
    <row r="15" spans="1:4" x14ac:dyDescent="0.25">
      <c r="A15" s="184"/>
      <c r="B15" s="110" t="s">
        <v>122</v>
      </c>
      <c r="C15" s="115" t="s">
        <v>43</v>
      </c>
      <c r="D15" s="14"/>
    </row>
    <row r="16" spans="1:4" x14ac:dyDescent="0.25">
      <c r="A16" s="184"/>
      <c r="B16" s="110" t="s">
        <v>123</v>
      </c>
      <c r="C16" s="115" t="s">
        <v>124</v>
      </c>
      <c r="D16" s="14"/>
    </row>
    <row r="17" spans="1:4" ht="15.75" thickBot="1" x14ac:dyDescent="0.3">
      <c r="A17" s="185"/>
      <c r="B17" s="116" t="s">
        <v>125</v>
      </c>
      <c r="C17" s="117" t="s">
        <v>126</v>
      </c>
      <c r="D17" s="14"/>
    </row>
    <row r="19" spans="1:4" x14ac:dyDescent="0.25">
      <c r="A19" s="180" t="s">
        <v>99</v>
      </c>
      <c r="B19" s="180"/>
      <c r="C19" s="180"/>
    </row>
  </sheetData>
  <sheetProtection algorithmName="SHA-512" hashValue="XRCtRguM7sbrU7tIELVfxErh9RlowplJ3zej4Yo2R1/sm1o0g4ZuLXoFCp3PzG2wxhqB0Uj8Ef1mtQjIDm3dKw==" saltValue="heEZ0bnzGPiQEp5CoGWeyw==" spinCount="100000" sheet="1" objects="1" scenarios="1"/>
  <mergeCells count="4">
    <mergeCell ref="A19:C19"/>
    <mergeCell ref="A3:C5"/>
    <mergeCell ref="A14:A17"/>
    <mergeCell ref="A7:A12"/>
  </mergeCells>
  <pageMargins left="0.25" right="0.25" top="0.75" bottom="0.75" header="0.3" footer="0.3"/>
  <pageSetup paperSize="9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8A3"/>
  </sheetPr>
  <dimension ref="A1:K73"/>
  <sheetViews>
    <sheetView showGridLines="0" tabSelected="1" topLeftCell="A48" zoomScale="70" zoomScaleNormal="70" workbookViewId="0">
      <selection activeCell="B68" sqref="B68"/>
    </sheetView>
  </sheetViews>
  <sheetFormatPr baseColWidth="10" defaultColWidth="14.42578125" defaultRowHeight="15" x14ac:dyDescent="0.25"/>
  <cols>
    <col min="1" max="1" width="40.28515625" style="18" customWidth="1"/>
    <col min="2" max="2" width="20.28515625" style="18" customWidth="1"/>
    <col min="3" max="5" width="15.7109375" style="18" customWidth="1"/>
    <col min="6" max="6" width="25.42578125" style="18" customWidth="1"/>
    <col min="7" max="7" width="30.42578125" style="18" customWidth="1"/>
    <col min="8" max="8" width="17.7109375" style="18" customWidth="1"/>
    <col min="9" max="9" width="15.42578125" style="18" bestFit="1" customWidth="1"/>
    <col min="10" max="10" width="12.7109375" style="18" bestFit="1" customWidth="1"/>
    <col min="11" max="11" width="16" style="18" bestFit="1" customWidth="1"/>
    <col min="12" max="12" width="17.7109375" style="18" bestFit="1" customWidth="1"/>
    <col min="13" max="13" width="8.5703125" style="18" bestFit="1" customWidth="1"/>
    <col min="14" max="21" width="10.7109375" style="18" customWidth="1"/>
    <col min="22" max="16384" width="14.42578125" style="18"/>
  </cols>
  <sheetData>
    <row r="1" spans="1:11" x14ac:dyDescent="0.25">
      <c r="A1" s="16" t="s">
        <v>50</v>
      </c>
      <c r="B1" s="189"/>
      <c r="C1" s="190"/>
      <c r="D1" s="17"/>
      <c r="E1" s="17"/>
    </row>
    <row r="2" spans="1:11" ht="16.149999999999999" customHeight="1" x14ac:dyDescent="0.25">
      <c r="A2" s="19" t="s">
        <v>52</v>
      </c>
      <c r="B2" s="125"/>
      <c r="C2" s="20">
        <f>$B$2*6</f>
        <v>0</v>
      </c>
    </row>
    <row r="3" spans="1:11" ht="16.149999999999999" customHeight="1" x14ac:dyDescent="0.25">
      <c r="A3" s="19" t="s">
        <v>89</v>
      </c>
      <c r="B3" s="126"/>
      <c r="C3" s="7">
        <f>1-B3</f>
        <v>1</v>
      </c>
    </row>
    <row r="4" spans="1:11" x14ac:dyDescent="0.25">
      <c r="G4" s="17"/>
      <c r="H4" s="17"/>
      <c r="I4" s="21"/>
      <c r="J4" s="17"/>
      <c r="K4" s="17"/>
    </row>
    <row r="5" spans="1:11" x14ac:dyDescent="0.25">
      <c r="A5" s="142" t="s">
        <v>53</v>
      </c>
      <c r="B5" s="142"/>
      <c r="C5" s="142"/>
      <c r="D5" s="142"/>
      <c r="E5" s="142"/>
      <c r="F5" s="142"/>
      <c r="G5" s="17"/>
      <c r="H5" s="17"/>
      <c r="I5" s="21"/>
      <c r="J5" s="17"/>
      <c r="K5" s="17"/>
    </row>
    <row r="6" spans="1:11" s="23" customFormat="1" ht="30" x14ac:dyDescent="0.25">
      <c r="A6" s="145" t="s">
        <v>13</v>
      </c>
      <c r="B6" s="145" t="s">
        <v>58</v>
      </c>
      <c r="C6" s="145" t="s">
        <v>134</v>
      </c>
      <c r="D6" s="145" t="s">
        <v>26</v>
      </c>
      <c r="E6" s="158" t="s">
        <v>14</v>
      </c>
      <c r="F6" s="158" t="s">
        <v>139</v>
      </c>
      <c r="G6" s="17"/>
      <c r="H6" s="17"/>
      <c r="I6" s="22"/>
      <c r="J6" s="22"/>
      <c r="K6" s="22"/>
    </row>
    <row r="7" spans="1:11" ht="14.25" customHeight="1" x14ac:dyDescent="0.25">
      <c r="A7" s="159" t="s">
        <v>72</v>
      </c>
      <c r="B7" s="24">
        <v>2034</v>
      </c>
      <c r="C7" s="25">
        <f>B7/160</f>
        <v>12.7125</v>
      </c>
      <c r="D7" s="24"/>
      <c r="E7" s="24"/>
      <c r="F7" s="24"/>
      <c r="G7" s="17"/>
      <c r="H7" s="17"/>
      <c r="I7" s="17"/>
      <c r="J7" s="17"/>
      <c r="K7" s="17"/>
    </row>
    <row r="8" spans="1:11" ht="14.25" customHeight="1" x14ac:dyDescent="0.25">
      <c r="A8" s="159" t="s">
        <v>73</v>
      </c>
      <c r="B8" s="24">
        <v>2650.36</v>
      </c>
      <c r="C8" s="25">
        <f>B8/160</f>
        <v>16.56475</v>
      </c>
      <c r="D8" s="24"/>
      <c r="E8" s="24"/>
      <c r="F8" s="24"/>
      <c r="G8" s="17"/>
      <c r="H8" s="17"/>
      <c r="I8" s="17"/>
      <c r="J8" s="17"/>
      <c r="K8" s="17"/>
    </row>
    <row r="9" spans="1:11" ht="14.25" customHeight="1" x14ac:dyDescent="0.25">
      <c r="A9" s="20" t="s">
        <v>15</v>
      </c>
      <c r="B9" s="24"/>
      <c r="C9" s="178"/>
      <c r="D9" s="20">
        <v>1</v>
      </c>
      <c r="E9" s="127"/>
      <c r="F9" s="24">
        <f>D9*(E9*$C$2)*C7</f>
        <v>0</v>
      </c>
      <c r="G9" s="17"/>
      <c r="H9" s="17"/>
      <c r="I9" s="27"/>
      <c r="J9" s="17"/>
      <c r="K9" s="17"/>
    </row>
    <row r="10" spans="1:11" ht="14.25" customHeight="1" x14ac:dyDescent="0.25">
      <c r="A10" s="20" t="s">
        <v>16</v>
      </c>
      <c r="B10" s="24">
        <v>733</v>
      </c>
      <c r="C10" s="24">
        <f>B10/160</f>
        <v>4.5812499999999998</v>
      </c>
      <c r="D10" s="125"/>
      <c r="E10" s="127"/>
      <c r="F10" s="24">
        <f>D10*(E10*$C$2)*C10</f>
        <v>0</v>
      </c>
      <c r="G10" s="17"/>
      <c r="H10" s="17"/>
      <c r="I10" s="17"/>
      <c r="J10" s="17"/>
      <c r="K10" s="17"/>
    </row>
    <row r="11" spans="1:11" ht="14.25" customHeight="1" x14ac:dyDescent="0.25">
      <c r="A11" s="160" t="s">
        <v>60</v>
      </c>
      <c r="B11" s="24">
        <v>986</v>
      </c>
      <c r="C11" s="24">
        <f>B11/160</f>
        <v>6.1624999999999996</v>
      </c>
      <c r="D11" s="125"/>
      <c r="E11" s="127"/>
      <c r="F11" s="24">
        <f>D11*(E11*$C$2)*C11</f>
        <v>0</v>
      </c>
      <c r="G11" s="17"/>
      <c r="H11" s="17"/>
      <c r="I11" s="17"/>
      <c r="J11" s="17"/>
      <c r="K11" s="17"/>
    </row>
    <row r="12" spans="1:11" ht="14.25" customHeight="1" x14ac:dyDescent="0.25">
      <c r="A12" s="161" t="s">
        <v>32</v>
      </c>
      <c r="B12" s="162"/>
      <c r="C12" s="24">
        <f>B12/160</f>
        <v>0</v>
      </c>
      <c r="D12" s="125"/>
      <c r="E12" s="127"/>
      <c r="F12" s="24">
        <f>D12*(E12*$C$2)*C12</f>
        <v>0</v>
      </c>
      <c r="H12" s="17"/>
      <c r="I12" s="17"/>
      <c r="J12" s="17"/>
      <c r="K12" s="17"/>
    </row>
    <row r="13" spans="1:11" ht="14.25" customHeight="1" x14ac:dyDescent="0.25">
      <c r="A13" s="163" t="s">
        <v>79</v>
      </c>
      <c r="B13" s="163"/>
      <c r="C13" s="163"/>
      <c r="D13" s="163"/>
      <c r="E13" s="163"/>
      <c r="F13" s="151">
        <f>SUM(F9:F12)</f>
        <v>0</v>
      </c>
      <c r="G13" s="157" t="s">
        <v>11</v>
      </c>
      <c r="J13" s="17"/>
      <c r="K13" s="17"/>
    </row>
    <row r="14" spans="1:11" ht="14.25" customHeight="1" x14ac:dyDescent="0.25">
      <c r="A14" s="28"/>
      <c r="B14" s="17"/>
      <c r="C14" s="17"/>
      <c r="D14" s="17"/>
      <c r="E14" s="17"/>
      <c r="F14" s="17"/>
      <c r="G14" s="17"/>
      <c r="H14" s="29"/>
      <c r="I14" s="17"/>
      <c r="J14" s="30"/>
      <c r="K14" s="21"/>
    </row>
    <row r="15" spans="1:11" x14ac:dyDescent="0.25">
      <c r="A15" s="143" t="s">
        <v>0</v>
      </c>
      <c r="B15" s="144"/>
      <c r="C15" s="144"/>
      <c r="D15" s="144"/>
      <c r="E15" s="144"/>
      <c r="F15" s="144"/>
    </row>
    <row r="16" spans="1:11" s="141" customFormat="1" x14ac:dyDescent="0.25">
      <c r="A16" s="145" t="s">
        <v>1</v>
      </c>
      <c r="B16" s="145" t="s">
        <v>74</v>
      </c>
      <c r="C16" s="145" t="s">
        <v>131</v>
      </c>
      <c r="D16" s="145" t="s">
        <v>132</v>
      </c>
      <c r="E16" s="145" t="s">
        <v>133</v>
      </c>
      <c r="F16" s="145" t="s">
        <v>137</v>
      </c>
      <c r="G16" s="58"/>
      <c r="H16" s="58"/>
    </row>
    <row r="17" spans="1:8" x14ac:dyDescent="0.25">
      <c r="A17" s="146" t="s">
        <v>2</v>
      </c>
      <c r="B17" s="146"/>
      <c r="C17" s="146"/>
      <c r="D17" s="146"/>
      <c r="E17" s="146"/>
      <c r="F17" s="146"/>
      <c r="G17" s="17"/>
      <c r="H17" s="17"/>
    </row>
    <row r="18" spans="1:8" x14ac:dyDescent="0.25">
      <c r="A18" s="125"/>
      <c r="B18" s="125" t="s">
        <v>72</v>
      </c>
      <c r="C18" s="125"/>
      <c r="D18" s="125"/>
      <c r="E18" s="125"/>
      <c r="F18" s="24">
        <f>(C18+D18)*1.6*IF(B18=$A$7,$C$7,$C$8)</f>
        <v>0</v>
      </c>
      <c r="G18" s="27"/>
      <c r="H18" s="27"/>
    </row>
    <row r="19" spans="1:8" x14ac:dyDescent="0.25">
      <c r="A19" s="125"/>
      <c r="B19" s="125" t="s">
        <v>73</v>
      </c>
      <c r="C19" s="125"/>
      <c r="D19" s="125"/>
      <c r="E19" s="125"/>
      <c r="F19" s="24">
        <f t="shared" ref="F19:F25" si="0">(C19+D19)*1.6*IF(B19=$A$7,$C$7,$C$8)</f>
        <v>0</v>
      </c>
      <c r="G19" s="27"/>
      <c r="H19" s="27"/>
    </row>
    <row r="20" spans="1:8" x14ac:dyDescent="0.25">
      <c r="A20" s="125"/>
      <c r="B20" s="125"/>
      <c r="C20" s="125"/>
      <c r="D20" s="125"/>
      <c r="E20" s="125"/>
      <c r="F20" s="24">
        <f t="shared" si="0"/>
        <v>0</v>
      </c>
      <c r="G20" s="17"/>
      <c r="H20" s="17"/>
    </row>
    <row r="21" spans="1:8" x14ac:dyDescent="0.25">
      <c r="A21" s="125"/>
      <c r="B21" s="125"/>
      <c r="C21" s="125"/>
      <c r="D21" s="125"/>
      <c r="E21" s="125"/>
      <c r="F21" s="24">
        <f t="shared" si="0"/>
        <v>0</v>
      </c>
      <c r="G21" s="17"/>
      <c r="H21" s="17"/>
    </row>
    <row r="22" spans="1:8" x14ac:dyDescent="0.25">
      <c r="A22" s="125"/>
      <c r="B22" s="125"/>
      <c r="C22" s="125"/>
      <c r="D22" s="125"/>
      <c r="E22" s="125"/>
      <c r="F22" s="24">
        <f t="shared" si="0"/>
        <v>0</v>
      </c>
      <c r="G22" s="17"/>
      <c r="H22" s="17"/>
    </row>
    <row r="23" spans="1:8" x14ac:dyDescent="0.25">
      <c r="A23" s="125"/>
      <c r="B23" s="125"/>
      <c r="C23" s="125"/>
      <c r="D23" s="125"/>
      <c r="E23" s="125"/>
      <c r="F23" s="24">
        <f t="shared" si="0"/>
        <v>0</v>
      </c>
      <c r="G23" s="17"/>
      <c r="H23" s="17"/>
    </row>
    <row r="24" spans="1:8" x14ac:dyDescent="0.25">
      <c r="A24" s="125"/>
      <c r="B24" s="125"/>
      <c r="C24" s="125"/>
      <c r="D24" s="125"/>
      <c r="E24" s="125"/>
      <c r="F24" s="24">
        <f t="shared" si="0"/>
        <v>0</v>
      </c>
      <c r="G24" s="17"/>
      <c r="H24" s="17"/>
    </row>
    <row r="25" spans="1:8" x14ac:dyDescent="0.25">
      <c r="A25" s="125"/>
      <c r="B25" s="125"/>
      <c r="C25" s="125"/>
      <c r="D25" s="125"/>
      <c r="E25" s="125"/>
      <c r="F25" s="24">
        <f t="shared" si="0"/>
        <v>0</v>
      </c>
      <c r="G25" s="17"/>
      <c r="H25" s="17"/>
    </row>
    <row r="26" spans="1:8" x14ac:dyDescent="0.25">
      <c r="A26" s="147" t="s">
        <v>3</v>
      </c>
      <c r="B26" s="31"/>
      <c r="C26" s="31">
        <f>SUM(C18:C25)</f>
        <v>0</v>
      </c>
      <c r="D26" s="31">
        <f t="shared" ref="D26" si="1">SUM(D18:D25)</f>
        <v>0</v>
      </c>
      <c r="E26" s="31"/>
      <c r="F26" s="148">
        <f>SUM(F18:F25)</f>
        <v>0</v>
      </c>
      <c r="G26" s="17"/>
      <c r="H26" s="17"/>
    </row>
    <row r="27" spans="1:8" x14ac:dyDescent="0.25">
      <c r="A27" s="146" t="s">
        <v>4</v>
      </c>
      <c r="B27" s="146"/>
      <c r="C27" s="146"/>
      <c r="D27" s="146"/>
      <c r="E27" s="146"/>
      <c r="F27" s="149"/>
      <c r="G27" s="17"/>
      <c r="H27" s="17"/>
    </row>
    <row r="28" spans="1:8" x14ac:dyDescent="0.25">
      <c r="A28" s="125"/>
      <c r="B28" s="125"/>
      <c r="C28" s="125"/>
      <c r="D28" s="125"/>
      <c r="E28" s="125"/>
      <c r="F28" s="24">
        <f>(C28+D28)*1.6*IF(B28=$A$7,$C$7,$C$8)</f>
        <v>0</v>
      </c>
      <c r="G28" s="17"/>
      <c r="H28" s="17"/>
    </row>
    <row r="29" spans="1:8" x14ac:dyDescent="0.25">
      <c r="A29" s="125"/>
      <c r="B29" s="125"/>
      <c r="C29" s="125"/>
      <c r="D29" s="125"/>
      <c r="E29" s="125"/>
      <c r="F29" s="24">
        <f t="shared" ref="F29:F35" si="2">(C29+D29)*1.6*IF(B29=$A$7,$C$7,$C$8)</f>
        <v>0</v>
      </c>
      <c r="G29" s="17"/>
      <c r="H29" s="17"/>
    </row>
    <row r="30" spans="1:8" x14ac:dyDescent="0.25">
      <c r="A30" s="125"/>
      <c r="B30" s="125"/>
      <c r="C30" s="125"/>
      <c r="D30" s="125"/>
      <c r="E30" s="125"/>
      <c r="F30" s="24">
        <f t="shared" si="2"/>
        <v>0</v>
      </c>
      <c r="G30" s="17"/>
      <c r="H30" s="17"/>
    </row>
    <row r="31" spans="1:8" x14ac:dyDescent="0.25">
      <c r="A31" s="125"/>
      <c r="B31" s="125"/>
      <c r="C31" s="125"/>
      <c r="D31" s="125"/>
      <c r="E31" s="125"/>
      <c r="F31" s="24">
        <f t="shared" si="2"/>
        <v>0</v>
      </c>
      <c r="G31" s="17"/>
      <c r="H31" s="17"/>
    </row>
    <row r="32" spans="1:8" x14ac:dyDescent="0.25">
      <c r="A32" s="125"/>
      <c r="B32" s="125"/>
      <c r="C32" s="125"/>
      <c r="D32" s="125"/>
      <c r="E32" s="125"/>
      <c r="F32" s="24">
        <f t="shared" si="2"/>
        <v>0</v>
      </c>
      <c r="G32" s="17"/>
      <c r="H32" s="17"/>
    </row>
    <row r="33" spans="1:8" x14ac:dyDescent="0.25">
      <c r="A33" s="125"/>
      <c r="B33" s="125"/>
      <c r="C33" s="125"/>
      <c r="D33" s="125"/>
      <c r="E33" s="125"/>
      <c r="F33" s="24">
        <f t="shared" si="2"/>
        <v>0</v>
      </c>
      <c r="G33" s="17"/>
      <c r="H33" s="17"/>
    </row>
    <row r="34" spans="1:8" x14ac:dyDescent="0.25">
      <c r="A34" s="125"/>
      <c r="B34" s="125"/>
      <c r="C34" s="125"/>
      <c r="D34" s="125"/>
      <c r="E34" s="125"/>
      <c r="F34" s="24">
        <f t="shared" si="2"/>
        <v>0</v>
      </c>
      <c r="G34" s="17"/>
      <c r="H34" s="17"/>
    </row>
    <row r="35" spans="1:8" x14ac:dyDescent="0.25">
      <c r="A35" s="125"/>
      <c r="B35" s="125"/>
      <c r="C35" s="125"/>
      <c r="D35" s="125"/>
      <c r="E35" s="125"/>
      <c r="F35" s="24">
        <f t="shared" si="2"/>
        <v>0</v>
      </c>
      <c r="G35" s="17"/>
      <c r="H35" s="17"/>
    </row>
    <row r="36" spans="1:8" x14ac:dyDescent="0.25">
      <c r="A36" s="31" t="s">
        <v>5</v>
      </c>
      <c r="B36" s="32"/>
      <c r="C36" s="31">
        <f>SUM(C28:C35)</f>
        <v>0</v>
      </c>
      <c r="D36" s="31">
        <f t="shared" ref="D36" si="3">SUM(D28:D35)</f>
        <v>0</v>
      </c>
      <c r="E36" s="31"/>
      <c r="F36" s="148">
        <f>SUM(F28:F35)</f>
        <v>0</v>
      </c>
      <c r="G36" s="17"/>
      <c r="H36" s="17"/>
    </row>
    <row r="37" spans="1:8" x14ac:dyDescent="0.25">
      <c r="A37" s="146" t="s">
        <v>6</v>
      </c>
      <c r="B37" s="146"/>
      <c r="C37" s="146"/>
      <c r="D37" s="146"/>
      <c r="E37" s="146"/>
      <c r="F37" s="149"/>
      <c r="G37" s="17"/>
      <c r="H37" s="17"/>
    </row>
    <row r="38" spans="1:8" x14ac:dyDescent="0.25">
      <c r="A38" s="125"/>
      <c r="B38" s="125"/>
      <c r="C38" s="125"/>
      <c r="D38" s="125"/>
      <c r="E38" s="125"/>
      <c r="F38" s="24">
        <f>(C38+D38)*1.6*IF(B38=$A$7,$C$7,$C$8)</f>
        <v>0</v>
      </c>
      <c r="G38" s="17"/>
      <c r="H38" s="17"/>
    </row>
    <row r="39" spans="1:8" x14ac:dyDescent="0.25">
      <c r="A39" s="125"/>
      <c r="B39" s="125"/>
      <c r="C39" s="125"/>
      <c r="D39" s="125"/>
      <c r="E39" s="125"/>
      <c r="F39" s="24">
        <f t="shared" ref="F39:F45" si="4">(C39+D39)*1.6*IF(B39=$A$7,$C$7,$C$8)</f>
        <v>0</v>
      </c>
      <c r="G39" s="17"/>
      <c r="H39" s="17"/>
    </row>
    <row r="40" spans="1:8" x14ac:dyDescent="0.25">
      <c r="A40" s="125"/>
      <c r="B40" s="125"/>
      <c r="C40" s="125"/>
      <c r="D40" s="125"/>
      <c r="E40" s="125"/>
      <c r="F40" s="24">
        <f t="shared" si="4"/>
        <v>0</v>
      </c>
      <c r="G40" s="17"/>
      <c r="H40" s="17"/>
    </row>
    <row r="41" spans="1:8" x14ac:dyDescent="0.25">
      <c r="A41" s="125"/>
      <c r="B41" s="125"/>
      <c r="C41" s="125"/>
      <c r="D41" s="125"/>
      <c r="E41" s="125"/>
      <c r="F41" s="24">
        <f t="shared" si="4"/>
        <v>0</v>
      </c>
      <c r="G41" s="17"/>
      <c r="H41" s="17"/>
    </row>
    <row r="42" spans="1:8" x14ac:dyDescent="0.25">
      <c r="A42" s="125"/>
      <c r="B42" s="125"/>
      <c r="C42" s="125"/>
      <c r="D42" s="125"/>
      <c r="E42" s="125"/>
      <c r="F42" s="24">
        <f t="shared" si="4"/>
        <v>0</v>
      </c>
      <c r="G42" s="17"/>
      <c r="H42" s="17"/>
    </row>
    <row r="43" spans="1:8" x14ac:dyDescent="0.25">
      <c r="A43" s="125"/>
      <c r="B43" s="125"/>
      <c r="C43" s="125"/>
      <c r="D43" s="125"/>
      <c r="E43" s="125"/>
      <c r="F43" s="24">
        <f t="shared" si="4"/>
        <v>0</v>
      </c>
      <c r="G43" s="17"/>
      <c r="H43" s="17"/>
    </row>
    <row r="44" spans="1:8" x14ac:dyDescent="0.25">
      <c r="A44" s="125"/>
      <c r="B44" s="125"/>
      <c r="C44" s="125"/>
      <c r="D44" s="125"/>
      <c r="E44" s="125"/>
      <c r="F44" s="24">
        <f t="shared" si="4"/>
        <v>0</v>
      </c>
      <c r="G44" s="17"/>
      <c r="H44" s="17"/>
    </row>
    <row r="45" spans="1:8" x14ac:dyDescent="0.25">
      <c r="A45" s="125"/>
      <c r="B45" s="125"/>
      <c r="C45" s="125"/>
      <c r="D45" s="125"/>
      <c r="E45" s="125"/>
      <c r="F45" s="24">
        <f t="shared" si="4"/>
        <v>0</v>
      </c>
      <c r="G45" s="17"/>
      <c r="H45" s="17"/>
    </row>
    <row r="46" spans="1:8" x14ac:dyDescent="0.25">
      <c r="A46" s="31" t="s">
        <v>7</v>
      </c>
      <c r="B46" s="31"/>
      <c r="C46" s="31">
        <f>SUM(C38:C45)</f>
        <v>0</v>
      </c>
      <c r="D46" s="31">
        <f t="shared" ref="D46" si="5">SUM(D38:D45)</f>
        <v>0</v>
      </c>
      <c r="E46" s="31"/>
      <c r="F46" s="148">
        <f>SUM(F38:F45)</f>
        <v>0</v>
      </c>
      <c r="G46" s="17"/>
      <c r="H46" s="17"/>
    </row>
    <row r="47" spans="1:8" x14ac:dyDescent="0.25">
      <c r="A47" s="146" t="s">
        <v>8</v>
      </c>
      <c r="B47" s="146"/>
      <c r="C47" s="146"/>
      <c r="D47" s="146"/>
      <c r="E47" s="146"/>
      <c r="F47" s="149"/>
      <c r="G47" s="17"/>
      <c r="H47" s="17"/>
    </row>
    <row r="48" spans="1:8" x14ac:dyDescent="0.25">
      <c r="A48" s="125"/>
      <c r="B48" s="125"/>
      <c r="C48" s="125"/>
      <c r="D48" s="125"/>
      <c r="E48" s="125"/>
      <c r="F48" s="24">
        <f>(C48+D48)*1.6*IF(B48=$A$7,$C$7,$C$8)</f>
        <v>0</v>
      </c>
      <c r="G48" s="17"/>
      <c r="H48" s="17"/>
    </row>
    <row r="49" spans="1:8" x14ac:dyDescent="0.25">
      <c r="A49" s="125"/>
      <c r="B49" s="125"/>
      <c r="C49" s="125"/>
      <c r="D49" s="125"/>
      <c r="E49" s="125"/>
      <c r="F49" s="24">
        <f t="shared" ref="F49:F55" si="6">(C49+D49)*1.6*IF(B49=$A$7,$C$7,$C$8)</f>
        <v>0</v>
      </c>
      <c r="G49" s="17"/>
      <c r="H49" s="17"/>
    </row>
    <row r="50" spans="1:8" x14ac:dyDescent="0.25">
      <c r="A50" s="125"/>
      <c r="B50" s="125"/>
      <c r="C50" s="125"/>
      <c r="D50" s="125"/>
      <c r="E50" s="125"/>
      <c r="F50" s="24">
        <f t="shared" si="6"/>
        <v>0</v>
      </c>
      <c r="G50" s="17"/>
      <c r="H50" s="17"/>
    </row>
    <row r="51" spans="1:8" x14ac:dyDescent="0.25">
      <c r="A51" s="125"/>
      <c r="B51" s="125"/>
      <c r="C51" s="125"/>
      <c r="D51" s="125"/>
      <c r="E51" s="125"/>
      <c r="F51" s="24">
        <f t="shared" si="6"/>
        <v>0</v>
      </c>
      <c r="G51" s="17"/>
      <c r="H51" s="17"/>
    </row>
    <row r="52" spans="1:8" x14ac:dyDescent="0.25">
      <c r="A52" s="125"/>
      <c r="B52" s="125"/>
      <c r="C52" s="125"/>
      <c r="D52" s="125"/>
      <c r="E52" s="125"/>
      <c r="F52" s="24">
        <f t="shared" si="6"/>
        <v>0</v>
      </c>
      <c r="G52" s="17"/>
      <c r="H52" s="17"/>
    </row>
    <row r="53" spans="1:8" x14ac:dyDescent="0.25">
      <c r="A53" s="125"/>
      <c r="B53" s="125"/>
      <c r="C53" s="125"/>
      <c r="D53" s="125"/>
      <c r="E53" s="125"/>
      <c r="F53" s="24">
        <f t="shared" si="6"/>
        <v>0</v>
      </c>
      <c r="G53" s="17"/>
      <c r="H53" s="17"/>
    </row>
    <row r="54" spans="1:8" x14ac:dyDescent="0.25">
      <c r="A54" s="125"/>
      <c r="B54" s="125"/>
      <c r="C54" s="125"/>
      <c r="D54" s="125"/>
      <c r="E54" s="125"/>
      <c r="F54" s="24">
        <f t="shared" si="6"/>
        <v>0</v>
      </c>
      <c r="G54" s="17"/>
      <c r="H54" s="17"/>
    </row>
    <row r="55" spans="1:8" x14ac:dyDescent="0.25">
      <c r="A55" s="125"/>
      <c r="B55" s="125"/>
      <c r="C55" s="125"/>
      <c r="D55" s="125"/>
      <c r="E55" s="125"/>
      <c r="F55" s="24">
        <f t="shared" si="6"/>
        <v>0</v>
      </c>
      <c r="G55" s="17"/>
      <c r="H55" s="27"/>
    </row>
    <row r="56" spans="1:8" x14ac:dyDescent="0.25">
      <c r="A56" s="31" t="s">
        <v>9</v>
      </c>
      <c r="B56" s="32"/>
      <c r="C56" s="31">
        <f>SUM(C48:C55)</f>
        <v>0</v>
      </c>
      <c r="D56" s="31">
        <f t="shared" ref="D56" si="7">SUM(D48:D55)</f>
        <v>0</v>
      </c>
      <c r="E56" s="31"/>
      <c r="F56" s="148">
        <f>SUM(F48:F55)</f>
        <v>0</v>
      </c>
      <c r="G56" s="17"/>
      <c r="H56" s="17"/>
    </row>
    <row r="57" spans="1:8" x14ac:dyDescent="0.25">
      <c r="A57" s="150" t="s">
        <v>46</v>
      </c>
      <c r="B57" s="150"/>
      <c r="C57" s="150">
        <f>C26+C36+C46+C56</f>
        <v>0</v>
      </c>
      <c r="D57" s="150">
        <f>D26+D36+D46+D56</f>
        <v>0</v>
      </c>
      <c r="E57" s="150"/>
      <c r="F57" s="151">
        <f>F26+F36+F46+F56</f>
        <v>0</v>
      </c>
      <c r="G57" s="156" t="s">
        <v>11</v>
      </c>
    </row>
    <row r="58" spans="1:8" x14ac:dyDescent="0.25">
      <c r="A58" s="146" t="s">
        <v>44</v>
      </c>
      <c r="B58" s="146"/>
      <c r="C58" s="146"/>
      <c r="D58" s="146"/>
      <c r="E58" s="146"/>
      <c r="F58" s="146"/>
      <c r="G58" s="17"/>
      <c r="H58" s="17"/>
    </row>
    <row r="59" spans="1:8" x14ac:dyDescent="0.25">
      <c r="A59" s="125"/>
      <c r="B59" s="179"/>
      <c r="C59" s="125"/>
      <c r="D59" s="125"/>
      <c r="E59" s="125"/>
      <c r="F59" s="33"/>
      <c r="G59" s="17"/>
      <c r="H59" s="17"/>
    </row>
    <row r="60" spans="1:8" x14ac:dyDescent="0.25">
      <c r="A60" s="125"/>
      <c r="B60" s="179"/>
      <c r="C60" s="133"/>
      <c r="D60" s="125"/>
      <c r="E60" s="125"/>
      <c r="F60" s="33"/>
      <c r="G60" s="17"/>
      <c r="H60" s="17"/>
    </row>
    <row r="61" spans="1:8" x14ac:dyDescent="0.25">
      <c r="A61" s="125"/>
      <c r="B61" s="179"/>
      <c r="C61" s="125"/>
      <c r="D61" s="125"/>
      <c r="E61" s="125"/>
      <c r="F61" s="33"/>
      <c r="G61" s="17"/>
      <c r="H61" s="17"/>
    </row>
    <row r="62" spans="1:8" x14ac:dyDescent="0.25">
      <c r="A62" s="125"/>
      <c r="B62" s="179"/>
      <c r="C62" s="125"/>
      <c r="D62" s="125"/>
      <c r="E62" s="125"/>
      <c r="F62" s="33"/>
      <c r="G62" s="17"/>
      <c r="H62" s="17"/>
    </row>
    <row r="63" spans="1:8" x14ac:dyDescent="0.25">
      <c r="A63" s="125"/>
      <c r="B63" s="179"/>
      <c r="C63" s="125"/>
      <c r="D63" s="125"/>
      <c r="E63" s="125"/>
      <c r="F63" s="33"/>
      <c r="G63" s="17"/>
      <c r="H63" s="17"/>
    </row>
    <row r="64" spans="1:8" x14ac:dyDescent="0.25">
      <c r="A64" s="31" t="s">
        <v>47</v>
      </c>
      <c r="B64" s="32"/>
      <c r="C64" s="31">
        <f>SUM(C59:C63)</f>
        <v>0</v>
      </c>
      <c r="D64" s="31">
        <f>SUM(D59:D63)</f>
        <v>0</v>
      </c>
      <c r="E64" s="31"/>
      <c r="F64" s="31"/>
      <c r="G64" s="17"/>
      <c r="H64" s="17"/>
    </row>
    <row r="65" spans="1:8" x14ac:dyDescent="0.25">
      <c r="A65" s="150" t="s">
        <v>45</v>
      </c>
      <c r="B65" s="150"/>
      <c r="C65" s="150">
        <f>+C57+C64</f>
        <v>0</v>
      </c>
      <c r="D65" s="150">
        <f>+D57+D64</f>
        <v>0</v>
      </c>
      <c r="E65" s="150"/>
      <c r="F65" s="150"/>
      <c r="G65" s="17"/>
      <c r="H65" s="17"/>
    </row>
    <row r="66" spans="1:8" ht="15" customHeight="1" x14ac:dyDescent="0.25">
      <c r="A66" s="188" t="s">
        <v>138</v>
      </c>
      <c r="B66" s="188"/>
      <c r="C66" s="188"/>
      <c r="D66" s="188"/>
      <c r="E66" s="188"/>
      <c r="F66" s="188"/>
      <c r="G66" s="17"/>
    </row>
    <row r="67" spans="1:8" x14ac:dyDescent="0.25">
      <c r="A67" s="20" t="s">
        <v>104</v>
      </c>
      <c r="B67" s="125"/>
      <c r="C67" s="26">
        <f>C64</f>
        <v>0</v>
      </c>
      <c r="D67" s="20"/>
      <c r="E67" s="20"/>
      <c r="F67" s="152">
        <f>C67*IF(B67=$A$7,$C$7,$C$8)</f>
        <v>0</v>
      </c>
      <c r="G67" s="27"/>
    </row>
    <row r="68" spans="1:8" x14ac:dyDescent="0.25">
      <c r="A68" s="20" t="s">
        <v>82</v>
      </c>
      <c r="B68" s="125"/>
      <c r="C68" s="26">
        <v>10</v>
      </c>
      <c r="D68" s="20"/>
      <c r="E68" s="20"/>
      <c r="F68" s="33">
        <f>C68*IF(B68=$A$7,$C$7,$C$8)</f>
        <v>165.64750000000001</v>
      </c>
      <c r="G68" s="17"/>
    </row>
    <row r="69" spans="1:8" x14ac:dyDescent="0.25">
      <c r="A69" s="20" t="s">
        <v>83</v>
      </c>
      <c r="B69" s="125"/>
      <c r="C69" s="26">
        <v>10</v>
      </c>
      <c r="D69" s="20"/>
      <c r="E69" s="20"/>
      <c r="F69" s="33">
        <f>C69*IF(B69=$A$7,$C$7,$C$8)</f>
        <v>165.64750000000001</v>
      </c>
      <c r="G69" s="17"/>
    </row>
    <row r="70" spans="1:8" x14ac:dyDescent="0.25">
      <c r="A70" s="150" t="s">
        <v>10</v>
      </c>
      <c r="B70" s="153"/>
      <c r="C70" s="150"/>
      <c r="D70" s="153"/>
      <c r="E70" s="153"/>
      <c r="F70" s="154">
        <f>SUM(F67:F69)</f>
        <v>331.29500000000002</v>
      </c>
      <c r="G70" s="155" t="s">
        <v>12</v>
      </c>
    </row>
    <row r="73" spans="1:8" x14ac:dyDescent="0.25">
      <c r="F73" s="35"/>
    </row>
  </sheetData>
  <sheetProtection algorithmName="SHA-512" hashValue="PjEacjwfda2us2hxxpGmxZJj8DGAAdPVBXKrIzXYWV6icmltzTDdIfIUbvrbIuG+9CZm10NKMOulq1uyUMcryw==" saltValue="aokRjf+ngkxykeZ9mcB4Sg==" spinCount="100000" sheet="1" objects="1" scenarios="1"/>
  <mergeCells count="2">
    <mergeCell ref="A66:F66"/>
    <mergeCell ref="B1:C1"/>
  </mergeCells>
  <dataValidations xWindow="649" yWindow="371" count="3">
    <dataValidation type="whole" allowBlank="1" showInputMessage="1" showErrorMessage="1" prompt="Ingresar solo caracteres numéricos" sqref="C38:E45 C18:E25 C28:E35 C48:E55 C59:E63" xr:uid="{00000000-0002-0000-0200-000000000000}">
      <formula1>0</formula1>
      <formula2>720</formula2>
    </dataValidation>
    <dataValidation type="decimal" allowBlank="1" showInputMessage="1" showErrorMessage="1" prompt="Ingresar solo caracteres numéricos ( mínimo 2 PAOs)" sqref="B2" xr:uid="{00000000-0002-0000-0100-000001000000}">
      <formula1>2</formula1>
      <formula2>8</formula2>
    </dataValidation>
    <dataValidation type="list" allowBlank="1" showInputMessage="1" showErrorMessage="1" sqref="B18:B25 B28:B35 B38:B45 B48:B55 B59:B63 B67:B69" xr:uid="{FB989C82-9063-4CF2-9AF3-4D0AE780B04D}">
      <formula1>$A$7:$A$8</formula1>
    </dataValidation>
  </dataValidations>
  <pageMargins left="0.7" right="0.7" top="0.75" bottom="0.75" header="0" footer="0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7B29D"/>
  </sheetPr>
  <dimension ref="A1:E34"/>
  <sheetViews>
    <sheetView showGridLines="0" zoomScale="80" zoomScaleNormal="80" workbookViewId="0">
      <selection activeCell="A26" sqref="A26"/>
    </sheetView>
  </sheetViews>
  <sheetFormatPr baseColWidth="10" defaultColWidth="14.42578125" defaultRowHeight="15" x14ac:dyDescent="0.25"/>
  <cols>
    <col min="1" max="1" width="94.42578125" style="38" customWidth="1"/>
    <col min="2" max="2" width="16.5703125" style="38" customWidth="1"/>
    <col min="3" max="3" width="20.140625" style="38" customWidth="1"/>
    <col min="4" max="4" width="20.7109375" style="38" customWidth="1"/>
    <col min="5" max="5" width="20.42578125" style="38" customWidth="1"/>
    <col min="6" max="15" width="10.7109375" style="38" customWidth="1"/>
    <col min="16" max="16384" width="14.42578125" style="38"/>
  </cols>
  <sheetData>
    <row r="1" spans="1:5" x14ac:dyDescent="0.25">
      <c r="A1" s="36" t="s">
        <v>81</v>
      </c>
      <c r="B1" s="37"/>
    </row>
    <row r="2" spans="1:5" s="41" customFormat="1" x14ac:dyDescent="0.25">
      <c r="A2" s="39" t="s">
        <v>17</v>
      </c>
      <c r="B2" s="40" t="s">
        <v>18</v>
      </c>
    </row>
    <row r="3" spans="1:5" s="41" customFormat="1" x14ac:dyDescent="0.25">
      <c r="A3" s="42" t="s">
        <v>19</v>
      </c>
      <c r="B3" s="43">
        <v>4389.99</v>
      </c>
    </row>
    <row r="4" spans="1:5" s="41" customFormat="1" x14ac:dyDescent="0.25">
      <c r="A4" s="42" t="s">
        <v>20</v>
      </c>
      <c r="B4" s="43">
        <v>78684.97</v>
      </c>
    </row>
    <row r="5" spans="1:5" s="41" customFormat="1" x14ac:dyDescent="0.25">
      <c r="A5" s="42" t="s">
        <v>21</v>
      </c>
      <c r="B5" s="43">
        <v>343870.04</v>
      </c>
    </row>
    <row r="6" spans="1:5" s="41" customFormat="1" x14ac:dyDescent="0.25">
      <c r="A6" s="42" t="s">
        <v>22</v>
      </c>
      <c r="B6" s="43">
        <v>395940.94</v>
      </c>
    </row>
    <row r="7" spans="1:5" s="41" customFormat="1" x14ac:dyDescent="0.25">
      <c r="A7" s="42" t="s">
        <v>23</v>
      </c>
      <c r="B7" s="43">
        <v>246474.18</v>
      </c>
    </row>
    <row r="8" spans="1:5" s="41" customFormat="1" x14ac:dyDescent="0.25">
      <c r="A8" s="44" t="s">
        <v>80</v>
      </c>
      <c r="B8" s="43">
        <v>8437.5</v>
      </c>
    </row>
    <row r="9" spans="1:5" s="41" customFormat="1" x14ac:dyDescent="0.25">
      <c r="A9" s="44" t="s">
        <v>24</v>
      </c>
      <c r="B9" s="43">
        <v>21056.35</v>
      </c>
    </row>
    <row r="10" spans="1:5" s="15" customFormat="1" x14ac:dyDescent="0.25">
      <c r="A10" s="45" t="s">
        <v>87</v>
      </c>
      <c r="B10" s="46">
        <f>SUM(B3:B9)</f>
        <v>1098853.97</v>
      </c>
    </row>
    <row r="11" spans="1:5" x14ac:dyDescent="0.25">
      <c r="A11" s="47" t="s">
        <v>86</v>
      </c>
      <c r="B11" s="48"/>
    </row>
    <row r="12" spans="1:5" x14ac:dyDescent="0.25">
      <c r="A12" s="49" t="s">
        <v>61</v>
      </c>
      <c r="B12" s="8">
        <v>140499.35999999999</v>
      </c>
      <c r="D12" s="50"/>
      <c r="E12" s="50"/>
    </row>
    <row r="13" spans="1:5" x14ac:dyDescent="0.25">
      <c r="A13" s="49" t="s">
        <v>62</v>
      </c>
      <c r="B13" s="8">
        <v>61678.3</v>
      </c>
      <c r="D13" s="50"/>
      <c r="E13" s="50"/>
    </row>
    <row r="14" spans="1:5" x14ac:dyDescent="0.25">
      <c r="A14" s="51" t="s">
        <v>63</v>
      </c>
      <c r="B14" s="8">
        <v>18586.5</v>
      </c>
      <c r="D14" s="50"/>
      <c r="E14" s="50"/>
    </row>
    <row r="15" spans="1:5" x14ac:dyDescent="0.25">
      <c r="A15" s="51" t="s">
        <v>64</v>
      </c>
      <c r="B15" s="8">
        <v>9989</v>
      </c>
      <c r="D15" s="50"/>
      <c r="E15" s="50"/>
    </row>
    <row r="16" spans="1:5" x14ac:dyDescent="0.25">
      <c r="A16" s="51" t="s">
        <v>65</v>
      </c>
      <c r="B16" s="8">
        <v>6278.8</v>
      </c>
      <c r="D16" s="50"/>
      <c r="E16" s="50"/>
    </row>
    <row r="17" spans="1:5" x14ac:dyDescent="0.25">
      <c r="A17" s="52" t="s">
        <v>84</v>
      </c>
      <c r="B17" s="8">
        <v>20338.509999999998</v>
      </c>
      <c r="D17" s="50"/>
      <c r="E17" s="50"/>
    </row>
    <row r="18" spans="1:5" x14ac:dyDescent="0.25">
      <c r="A18" s="51" t="s">
        <v>66</v>
      </c>
      <c r="B18" s="8">
        <v>6300</v>
      </c>
      <c r="D18" s="50"/>
      <c r="E18" s="50"/>
    </row>
    <row r="19" spans="1:5" x14ac:dyDescent="0.25">
      <c r="A19" s="52" t="s">
        <v>85</v>
      </c>
      <c r="B19" s="8">
        <v>31920</v>
      </c>
      <c r="D19" s="50"/>
      <c r="E19" s="50"/>
    </row>
    <row r="20" spans="1:5" x14ac:dyDescent="0.25">
      <c r="A20" s="51" t="s">
        <v>67</v>
      </c>
      <c r="B20" s="8">
        <v>1166.67</v>
      </c>
      <c r="D20" s="50"/>
      <c r="E20" s="50"/>
    </row>
    <row r="21" spans="1:5" x14ac:dyDescent="0.25">
      <c r="A21" s="51" t="s">
        <v>68</v>
      </c>
      <c r="B21" s="8">
        <v>1333.33</v>
      </c>
      <c r="D21" s="50"/>
      <c r="E21" s="50"/>
    </row>
    <row r="22" spans="1:5" x14ac:dyDescent="0.25">
      <c r="A22" s="51" t="s">
        <v>69</v>
      </c>
      <c r="B22" s="8">
        <v>18958</v>
      </c>
      <c r="D22" s="50"/>
      <c r="E22" s="50"/>
    </row>
    <row r="23" spans="1:5" x14ac:dyDescent="0.25">
      <c r="A23" s="51" t="s">
        <v>70</v>
      </c>
      <c r="B23" s="8">
        <v>15287</v>
      </c>
      <c r="D23" s="50"/>
      <c r="E23" s="50"/>
    </row>
    <row r="24" spans="1:5" x14ac:dyDescent="0.25">
      <c r="A24" s="51" t="s">
        <v>71</v>
      </c>
      <c r="B24" s="8">
        <v>4520</v>
      </c>
      <c r="D24" s="50"/>
      <c r="E24" s="50"/>
    </row>
    <row r="25" spans="1:5" s="15" customFormat="1" ht="15.75" thickBot="1" x14ac:dyDescent="0.3">
      <c r="A25" s="53" t="s">
        <v>95</v>
      </c>
      <c r="B25" s="54">
        <f>SUM(B12:B24)</f>
        <v>336855.47</v>
      </c>
      <c r="D25" s="30"/>
      <c r="E25" s="30"/>
    </row>
    <row r="26" spans="1:5" ht="15.75" thickBot="1" x14ac:dyDescent="0.3">
      <c r="B26" s="55"/>
    </row>
    <row r="27" spans="1:5" ht="15.75" thickBot="1" x14ac:dyDescent="0.3">
      <c r="A27" s="56" t="s">
        <v>17</v>
      </c>
      <c r="B27" s="57" t="s">
        <v>25</v>
      </c>
      <c r="C27" s="58"/>
      <c r="D27" s="15"/>
    </row>
    <row r="28" spans="1:5" x14ac:dyDescent="0.25">
      <c r="A28" s="59" t="s">
        <v>93</v>
      </c>
      <c r="B28" s="60">
        <v>65</v>
      </c>
      <c r="C28" s="50"/>
      <c r="D28" s="61"/>
    </row>
    <row r="29" spans="1:5" x14ac:dyDescent="0.25">
      <c r="A29" s="62" t="s">
        <v>94</v>
      </c>
      <c r="B29" s="63">
        <v>2072</v>
      </c>
      <c r="C29" s="50"/>
      <c r="D29" s="61"/>
    </row>
    <row r="30" spans="1:5" x14ac:dyDescent="0.25">
      <c r="A30" s="64" t="s">
        <v>88</v>
      </c>
      <c r="B30" s="65">
        <f>B10/(365*24*B28)</f>
        <v>1.9298453986652617</v>
      </c>
      <c r="C30" s="50"/>
      <c r="D30" s="61"/>
    </row>
    <row r="31" spans="1:5" ht="15.75" thickBot="1" x14ac:dyDescent="0.3">
      <c r="A31" s="66" t="s">
        <v>92</v>
      </c>
      <c r="B31" s="65">
        <f>B25/(365*24*B29)</f>
        <v>1.855879381093422E-2</v>
      </c>
    </row>
    <row r="32" spans="1:5" ht="15.75" thickBot="1" x14ac:dyDescent="0.3">
      <c r="A32" s="67" t="s">
        <v>59</v>
      </c>
      <c r="B32" s="128"/>
      <c r="C32" s="68"/>
      <c r="D32" s="61"/>
    </row>
    <row r="33" spans="1:3" x14ac:dyDescent="0.25">
      <c r="A33" s="69" t="s">
        <v>90</v>
      </c>
      <c r="B33" s="70">
        <f>B30*B32*('2. COSTOS PERSONAL'!C65+'2. COSTOS PERSONAL'!D65)*'2. COSTOS PERSONAL'!B3</f>
        <v>0</v>
      </c>
      <c r="C33" s="71" t="s">
        <v>11</v>
      </c>
    </row>
    <row r="34" spans="1:3" ht="15.75" thickBot="1" x14ac:dyDescent="0.3">
      <c r="A34" s="72" t="s">
        <v>91</v>
      </c>
      <c r="B34" s="73">
        <f>B31*('2. COSTOS PERSONAL'!C65+'2. COSTOS PERSONAL'!D65)*(1-'2. COSTOS PERSONAL'!B3)</f>
        <v>0</v>
      </c>
      <c r="C34" s="34" t="s">
        <v>12</v>
      </c>
    </row>
  </sheetData>
  <sheetProtection algorithmName="SHA-512" hashValue="Tp+bBVZU8Y59YE2dwxWQJN5yZNBYGQqXdiUnbebTUI/oebyPGSJZbdnm9iWldE9pyrWhcZ57L0YRbPW1g9EXwA==" saltValue="Dm8K77YVhtzznn13tvH+gA==" spinCount="100000" sheet="1" objects="1" scenarios="1"/>
  <dataValidations count="1">
    <dataValidation type="whole" allowBlank="1" showInputMessage="1" showErrorMessage="1" prompt="solo valor numérico" sqref="B32" xr:uid="{00000000-0002-0000-0300-000000000000}">
      <formula1>1</formula1>
      <formula2>20</formula2>
    </dataValidation>
  </dataValidations>
  <pageMargins left="0.7" right="0.7" top="0.75" bottom="0.75" header="0" footer="0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CD6DC"/>
    <pageSetUpPr fitToPage="1"/>
  </sheetPr>
  <dimension ref="A1:X956"/>
  <sheetViews>
    <sheetView showGridLines="0" topLeftCell="A10" zoomScale="70" zoomScaleNormal="70" workbookViewId="0">
      <selection activeCell="C20" sqref="C20"/>
    </sheetView>
  </sheetViews>
  <sheetFormatPr baseColWidth="10" defaultColWidth="14.42578125" defaultRowHeight="15" customHeight="1" x14ac:dyDescent="0.25"/>
  <cols>
    <col min="1" max="1" width="62.140625" style="2" bestFit="1" customWidth="1"/>
    <col min="2" max="2" width="19.7109375" style="176" customWidth="1"/>
    <col min="3" max="3" width="32.7109375" style="2" customWidth="1"/>
    <col min="4" max="4" width="24.140625" style="2" customWidth="1"/>
    <col min="5" max="5" width="15.42578125" style="2" customWidth="1"/>
    <col min="6" max="6" width="18.5703125" style="2" customWidth="1"/>
    <col min="7" max="7" width="19.5703125" style="2" customWidth="1"/>
    <col min="8" max="8" width="15.140625" style="2" customWidth="1"/>
    <col min="9" max="9" width="16.5703125" style="2" customWidth="1"/>
    <col min="10" max="10" width="12.28515625" style="2" customWidth="1"/>
    <col min="11" max="24" width="10.7109375" style="2" customWidth="1"/>
    <col min="25" max="16384" width="14.42578125" style="2"/>
  </cols>
  <sheetData>
    <row r="1" spans="1:24" x14ac:dyDescent="0.25">
      <c r="A1" s="191" t="s">
        <v>27</v>
      </c>
      <c r="B1" s="192"/>
      <c r="C1" s="74"/>
      <c r="D1" s="75"/>
      <c r="E1" s="76"/>
      <c r="F1" s="76"/>
      <c r="G1" s="74"/>
      <c r="H1" s="74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14.25" customHeight="1" x14ac:dyDescent="0.25">
      <c r="A2" s="77" t="s">
        <v>28</v>
      </c>
      <c r="B2" s="168" t="s">
        <v>29</v>
      </c>
      <c r="C2" s="74"/>
      <c r="D2" s="74"/>
      <c r="E2" s="74"/>
      <c r="F2" s="74"/>
      <c r="G2" s="74"/>
      <c r="H2" s="74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ht="14.25" customHeight="1" x14ac:dyDescent="0.25">
      <c r="A3" s="78" t="s">
        <v>105</v>
      </c>
      <c r="B3" s="79">
        <f>+'2. COSTOS PERSONAL'!F57</f>
        <v>0</v>
      </c>
      <c r="C3" s="74"/>
      <c r="D3" s="75"/>
      <c r="E3" s="75"/>
      <c r="F3" s="75"/>
      <c r="G3" s="74"/>
      <c r="H3" s="74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ht="14.25" customHeight="1" x14ac:dyDescent="0.25">
      <c r="A4" s="78" t="s">
        <v>106</v>
      </c>
      <c r="B4" s="79">
        <f>'2. COSTOS PERSONAL'!F13</f>
        <v>0</v>
      </c>
      <c r="C4" s="74"/>
      <c r="D4" s="80"/>
      <c r="E4" s="80"/>
      <c r="F4" s="80"/>
      <c r="G4" s="74"/>
      <c r="H4" s="74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ht="14.25" customHeight="1" x14ac:dyDescent="0.25">
      <c r="A5" s="78" t="s">
        <v>107</v>
      </c>
      <c r="B5" s="79">
        <f>'3. COSTOS INFRAESTRUCTURA'!B33</f>
        <v>0</v>
      </c>
      <c r="C5" s="74"/>
      <c r="D5" s="74"/>
      <c r="E5" s="74"/>
      <c r="F5" s="1"/>
      <c r="G5" s="74"/>
      <c r="H5" s="74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x14ac:dyDescent="0.25">
      <c r="A6" s="81" t="s">
        <v>56</v>
      </c>
      <c r="B6" s="129"/>
      <c r="C6" s="74"/>
      <c r="D6" s="75"/>
      <c r="E6" s="74"/>
      <c r="F6" s="1"/>
      <c r="G6" s="74"/>
      <c r="H6" s="74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ht="14.25" customHeight="1" x14ac:dyDescent="0.25">
      <c r="A7" s="78" t="s">
        <v>78</v>
      </c>
      <c r="B7" s="129"/>
      <c r="C7" s="74"/>
      <c r="D7" s="74"/>
      <c r="E7" s="74"/>
      <c r="F7" s="82"/>
      <c r="G7" s="74"/>
      <c r="H7" s="74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ht="14.25" customHeight="1" x14ac:dyDescent="0.25">
      <c r="A8" s="78" t="s">
        <v>36</v>
      </c>
      <c r="B8" s="129"/>
      <c r="C8" s="134"/>
      <c r="D8" s="83"/>
      <c r="E8" s="83"/>
      <c r="F8" s="82"/>
      <c r="G8" s="74"/>
      <c r="H8" s="74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spans="1:24" ht="14.25" customHeight="1" x14ac:dyDescent="0.25">
      <c r="A9" s="78" t="s">
        <v>37</v>
      </c>
      <c r="B9" s="129"/>
      <c r="C9" s="134"/>
      <c r="D9" s="83"/>
      <c r="E9" s="83"/>
      <c r="F9" s="82"/>
      <c r="G9" s="74"/>
      <c r="H9" s="74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ht="14.25" customHeight="1" x14ac:dyDescent="0.25">
      <c r="A10" s="78" t="s">
        <v>35</v>
      </c>
      <c r="B10" s="129"/>
      <c r="C10" s="84"/>
      <c r="D10" s="83"/>
      <c r="E10" s="83"/>
      <c r="F10" s="82"/>
      <c r="G10" s="74"/>
      <c r="H10" s="7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4" ht="14.25" customHeight="1" thickBot="1" x14ac:dyDescent="0.3">
      <c r="A11" s="85" t="s">
        <v>101</v>
      </c>
      <c r="B11" s="129"/>
      <c r="C11" s="74"/>
      <c r="D11" s="83"/>
      <c r="E11" s="83"/>
      <c r="F11" s="82"/>
      <c r="G11" s="74"/>
      <c r="H11" s="7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 ht="14.25" customHeight="1" thickBot="1" x14ac:dyDescent="0.3">
      <c r="A12" s="86" t="s">
        <v>30</v>
      </c>
      <c r="B12" s="87">
        <f>SUM(B3:B11)</f>
        <v>0</v>
      </c>
      <c r="C12" s="88" t="s">
        <v>109</v>
      </c>
      <c r="D12" s="74"/>
      <c r="E12" s="74"/>
      <c r="F12" s="82"/>
      <c r="G12" s="74"/>
      <c r="H12" s="74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 ht="14.25" customHeight="1" x14ac:dyDescent="0.25">
      <c r="A13" s="89" t="s">
        <v>31</v>
      </c>
      <c r="B13" s="169" t="s">
        <v>29</v>
      </c>
      <c r="C13" s="74"/>
      <c r="D13" s="74"/>
      <c r="E13" s="74"/>
      <c r="F13" s="82"/>
      <c r="G13" s="74"/>
      <c r="H13" s="74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spans="1:24" ht="14.25" customHeight="1" x14ac:dyDescent="0.25">
      <c r="A14" s="78" t="s">
        <v>75</v>
      </c>
      <c r="B14" s="79">
        <f>+'2. COSTOS PERSONAL'!F70</f>
        <v>331.29500000000002</v>
      </c>
      <c r="C14" s="74"/>
      <c r="D14" s="75"/>
      <c r="E14" s="74"/>
      <c r="F14" s="82"/>
      <c r="G14" s="74"/>
      <c r="H14" s="74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x14ac:dyDescent="0.25">
      <c r="A15" s="78" t="s">
        <v>103</v>
      </c>
      <c r="B15" s="129"/>
      <c r="C15" s="74"/>
      <c r="D15" s="80"/>
      <c r="E15" s="80"/>
      <c r="F15" s="80"/>
      <c r="G15" s="74"/>
      <c r="H15" s="90"/>
      <c r="I15" s="91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x14ac:dyDescent="0.25">
      <c r="A16" s="78" t="str">
        <f>'3. COSTOS INFRAESTRUCTURA'!A34</f>
        <v>Costo Infraestructuta Tecnológica por Persona (CTITP)</v>
      </c>
      <c r="B16" s="79">
        <f>'3. COSTOS INFRAESTRUCTURA'!B34</f>
        <v>0</v>
      </c>
      <c r="C16" s="74"/>
      <c r="D16" s="80"/>
      <c r="E16" s="80"/>
      <c r="F16" s="80"/>
      <c r="G16" s="74"/>
      <c r="H16" s="90"/>
      <c r="I16" s="91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4" ht="15.75" thickBot="1" x14ac:dyDescent="0.3">
      <c r="A17" s="92" t="s">
        <v>57</v>
      </c>
      <c r="B17" s="130"/>
      <c r="C17" s="74"/>
      <c r="D17" s="74"/>
      <c r="E17" s="74"/>
      <c r="F17" s="1"/>
      <c r="G17" s="74"/>
      <c r="H17" s="74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4" s="80" customFormat="1" ht="14.25" customHeight="1" thickBot="1" x14ac:dyDescent="0.3">
      <c r="A18" s="136" t="s">
        <v>30</v>
      </c>
      <c r="B18" s="137">
        <f>SUM(B14:B17)</f>
        <v>331.29500000000002</v>
      </c>
      <c r="C18" s="138" t="s">
        <v>110</v>
      </c>
      <c r="D18" s="74"/>
      <c r="E18" s="74"/>
      <c r="F18" s="82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</row>
    <row r="19" spans="1:24" s="80" customFormat="1" ht="14.25" customHeight="1" thickBot="1" x14ac:dyDescent="0.3">
      <c r="A19" s="75"/>
      <c r="B19" s="102"/>
      <c r="C19" s="75"/>
      <c r="D19" s="74"/>
      <c r="E19" s="74"/>
      <c r="F19" s="82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</row>
    <row r="20" spans="1:24" x14ac:dyDescent="0.25">
      <c r="A20" s="103" t="s">
        <v>111</v>
      </c>
      <c r="B20" s="131"/>
      <c r="C20" s="74"/>
      <c r="D20" s="74"/>
      <c r="E20" s="74"/>
      <c r="F20" s="82"/>
      <c r="G20" s="74"/>
      <c r="H20" s="74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x14ac:dyDescent="0.25">
      <c r="A21" s="106" t="s">
        <v>135</v>
      </c>
      <c r="B21" s="132"/>
      <c r="C21" s="94"/>
      <c r="D21" s="75"/>
      <c r="E21" s="76"/>
      <c r="F21" s="95"/>
      <c r="G21" s="74"/>
      <c r="H21" s="90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x14ac:dyDescent="0.25">
      <c r="A22" s="104" t="s">
        <v>102</v>
      </c>
      <c r="B22" s="177">
        <f>INT(B12/(B21-B18))</f>
        <v>0</v>
      </c>
      <c r="D22" s="80"/>
      <c r="E22" s="80"/>
      <c r="F22" s="80"/>
      <c r="G22" s="74"/>
      <c r="H22" s="93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spans="1:24" x14ac:dyDescent="0.25">
      <c r="A23" s="140" t="s">
        <v>136</v>
      </c>
      <c r="B23" s="135">
        <f>B12+B22*B18</f>
        <v>0</v>
      </c>
      <c r="D23" s="80"/>
      <c r="E23" s="80"/>
      <c r="F23" s="80"/>
      <c r="G23" s="74"/>
      <c r="H23" s="93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ht="21" x14ac:dyDescent="0.25">
      <c r="A24" s="139" t="s">
        <v>108</v>
      </c>
      <c r="B24" s="164" t="e">
        <f>B23/B22</f>
        <v>#DIV/0!</v>
      </c>
      <c r="C24" s="80"/>
      <c r="G24" s="74"/>
      <c r="H24" s="9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 ht="21" x14ac:dyDescent="0.25">
      <c r="A25" s="139" t="s">
        <v>54</v>
      </c>
      <c r="B25" s="165" t="e">
        <f>B24*10%</f>
        <v>#DIV/0!</v>
      </c>
      <c r="C25" s="74"/>
      <c r="E25" s="12"/>
      <c r="F25" s="12"/>
      <c r="G25" s="12"/>
      <c r="H25" s="97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ht="21" x14ac:dyDescent="0.25">
      <c r="A26" s="105" t="s">
        <v>100</v>
      </c>
      <c r="B26" s="166" t="e">
        <f>SUM(B24:B25)</f>
        <v>#DIV/0!</v>
      </c>
      <c r="C26" s="74"/>
      <c r="E26" s="12"/>
      <c r="F26" s="12"/>
      <c r="G26" s="12"/>
      <c r="H26" s="97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spans="1:24" x14ac:dyDescent="0.25">
      <c r="A27" s="106" t="s">
        <v>76</v>
      </c>
      <c r="B27" s="167" t="e">
        <f>1%*B26</f>
        <v>#DIV/0!</v>
      </c>
      <c r="C27" s="74"/>
      <c r="D27" s="12"/>
      <c r="E27" s="12"/>
      <c r="F27" s="12"/>
      <c r="G27" s="12"/>
      <c r="H27" s="97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 ht="15.75" thickBot="1" x14ac:dyDescent="0.3">
      <c r="A28" s="107" t="s">
        <v>77</v>
      </c>
      <c r="B28" s="108" t="e">
        <f>B24+B25+B27</f>
        <v>#DIV/0!</v>
      </c>
      <c r="C28" s="74"/>
      <c r="D28" s="12"/>
      <c r="E28" s="12"/>
      <c r="F28" s="12"/>
      <c r="G28" s="12"/>
      <c r="H28" s="97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24" ht="15.75" thickBot="1" x14ac:dyDescent="0.3">
      <c r="A29" s="10"/>
      <c r="B29" s="170"/>
      <c r="C29" s="3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ht="15.75" thickBot="1" x14ac:dyDescent="0.3">
      <c r="A30" s="98" t="s">
        <v>48</v>
      </c>
      <c r="B30" s="171" t="s">
        <v>49</v>
      </c>
      <c r="C30" s="11" t="s">
        <v>55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spans="1:24" ht="14.25" customHeight="1" thickTop="1" x14ac:dyDescent="0.25">
      <c r="A31" s="99">
        <v>0</v>
      </c>
      <c r="B31" s="172">
        <f>$B$18*A31+$B$12</f>
        <v>0</v>
      </c>
      <c r="C31" s="4" t="e">
        <f t="shared" ref="C31:C56" si="0">$B$26*$A31</f>
        <v>#DIV/0!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24" ht="14.25" customHeight="1" x14ac:dyDescent="0.25">
      <c r="A32" s="100">
        <f>A31+1</f>
        <v>1</v>
      </c>
      <c r="B32" s="172">
        <f>$B$18*A32+$B$12</f>
        <v>331.29500000000002</v>
      </c>
      <c r="C32" s="4" t="e">
        <f t="shared" si="0"/>
        <v>#DIV/0!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spans="1:24" ht="14.25" customHeight="1" x14ac:dyDescent="0.25">
      <c r="A33" s="100">
        <f t="shared" ref="A33:A56" si="1">A32+1</f>
        <v>2</v>
      </c>
      <c r="B33" s="172">
        <f>$B$18*A33+$B$12</f>
        <v>662.59</v>
      </c>
      <c r="C33" s="4" t="e">
        <f t="shared" si="0"/>
        <v>#DIV/0!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 ht="14.25" customHeight="1" x14ac:dyDescent="0.25">
      <c r="A34" s="100">
        <f t="shared" si="1"/>
        <v>3</v>
      </c>
      <c r="B34" s="173">
        <f>$B$18*A34+$B$12</f>
        <v>993.88499999999999</v>
      </c>
      <c r="C34" s="5" t="e">
        <f t="shared" si="0"/>
        <v>#DIV/0!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 ht="14.25" customHeight="1" x14ac:dyDescent="0.25">
      <c r="A35" s="100">
        <f t="shared" si="1"/>
        <v>4</v>
      </c>
      <c r="B35" s="172">
        <f>$B$18*A35+$B$12</f>
        <v>1325.18</v>
      </c>
      <c r="C35" s="4" t="e">
        <f t="shared" si="0"/>
        <v>#DIV/0!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ht="14.25" customHeight="1" x14ac:dyDescent="0.25">
      <c r="A36" s="100">
        <f t="shared" si="1"/>
        <v>5</v>
      </c>
      <c r="B36" s="172">
        <f t="shared" ref="B36:B56" si="2">$B$18*A36+$B$12</f>
        <v>1656.4750000000001</v>
      </c>
      <c r="C36" s="4" t="e">
        <f t="shared" si="0"/>
        <v>#DIV/0!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 ht="14.25" customHeight="1" x14ac:dyDescent="0.25">
      <c r="A37" s="100">
        <f t="shared" si="1"/>
        <v>6</v>
      </c>
      <c r="B37" s="172">
        <f t="shared" si="2"/>
        <v>1987.77</v>
      </c>
      <c r="C37" s="4" t="e">
        <f t="shared" si="0"/>
        <v>#DIV/0!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ht="14.25" customHeight="1" x14ac:dyDescent="0.25">
      <c r="A38" s="100">
        <f t="shared" si="1"/>
        <v>7</v>
      </c>
      <c r="B38" s="172">
        <f t="shared" si="2"/>
        <v>2319.0650000000001</v>
      </c>
      <c r="C38" s="4" t="e">
        <f t="shared" si="0"/>
        <v>#DIV/0!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1:24" ht="14.25" customHeight="1" x14ac:dyDescent="0.25">
      <c r="A39" s="100">
        <f t="shared" si="1"/>
        <v>8</v>
      </c>
      <c r="B39" s="172">
        <f t="shared" si="2"/>
        <v>2650.36</v>
      </c>
      <c r="C39" s="4" t="e">
        <f t="shared" si="0"/>
        <v>#DIV/0!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spans="1:24" ht="14.25" customHeight="1" x14ac:dyDescent="0.25">
      <c r="A40" s="100">
        <f t="shared" si="1"/>
        <v>9</v>
      </c>
      <c r="B40" s="172">
        <f t="shared" si="2"/>
        <v>2981.6550000000002</v>
      </c>
      <c r="C40" s="4" t="e">
        <f t="shared" si="0"/>
        <v>#DIV/0!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spans="1:24" ht="14.25" customHeight="1" x14ac:dyDescent="0.25">
      <c r="A41" s="100">
        <f t="shared" si="1"/>
        <v>10</v>
      </c>
      <c r="B41" s="172">
        <f t="shared" si="2"/>
        <v>3312.9500000000003</v>
      </c>
      <c r="C41" s="4" t="e">
        <f t="shared" si="0"/>
        <v>#DIV/0!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spans="1:24" ht="14.25" customHeight="1" x14ac:dyDescent="0.25">
      <c r="A42" s="100">
        <f t="shared" si="1"/>
        <v>11</v>
      </c>
      <c r="B42" s="172">
        <f t="shared" si="2"/>
        <v>3644.2450000000003</v>
      </c>
      <c r="C42" s="4" t="e">
        <f t="shared" si="0"/>
        <v>#DIV/0!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1:24" ht="14.25" customHeight="1" x14ac:dyDescent="0.25">
      <c r="A43" s="100">
        <f t="shared" si="1"/>
        <v>12</v>
      </c>
      <c r="B43" s="172">
        <f t="shared" si="2"/>
        <v>3975.54</v>
      </c>
      <c r="C43" s="4" t="e">
        <f t="shared" si="0"/>
        <v>#DIV/0!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spans="1:24" ht="14.25" customHeight="1" x14ac:dyDescent="0.25">
      <c r="A44" s="100">
        <f t="shared" si="1"/>
        <v>13</v>
      </c>
      <c r="B44" s="172">
        <f t="shared" si="2"/>
        <v>4306.835</v>
      </c>
      <c r="C44" s="4" t="e">
        <f t="shared" si="0"/>
        <v>#DIV/0!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spans="1:24" ht="14.25" customHeight="1" x14ac:dyDescent="0.25">
      <c r="A45" s="100">
        <f t="shared" si="1"/>
        <v>14</v>
      </c>
      <c r="B45" s="172">
        <f t="shared" si="2"/>
        <v>4638.13</v>
      </c>
      <c r="C45" s="4" t="e">
        <f t="shared" si="0"/>
        <v>#DIV/0!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spans="1:24" ht="14.25" customHeight="1" x14ac:dyDescent="0.25">
      <c r="A46" s="100">
        <f t="shared" si="1"/>
        <v>15</v>
      </c>
      <c r="B46" s="172">
        <f t="shared" si="2"/>
        <v>4969.4250000000002</v>
      </c>
      <c r="C46" s="4" t="e">
        <f t="shared" si="0"/>
        <v>#DIV/0!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spans="1:24" ht="14.25" customHeight="1" x14ac:dyDescent="0.25">
      <c r="A47" s="100">
        <f t="shared" si="1"/>
        <v>16</v>
      </c>
      <c r="B47" s="172">
        <f t="shared" si="2"/>
        <v>5300.72</v>
      </c>
      <c r="C47" s="4" t="e">
        <f t="shared" si="0"/>
        <v>#DIV/0!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spans="1:24" ht="14.25" customHeight="1" x14ac:dyDescent="0.25">
      <c r="A48" s="100">
        <f t="shared" si="1"/>
        <v>17</v>
      </c>
      <c r="B48" s="172">
        <f t="shared" si="2"/>
        <v>5632.0150000000003</v>
      </c>
      <c r="C48" s="4" t="e">
        <f t="shared" si="0"/>
        <v>#DIV/0!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spans="1:24" ht="14.25" customHeight="1" x14ac:dyDescent="0.25">
      <c r="A49" s="100">
        <f t="shared" si="1"/>
        <v>18</v>
      </c>
      <c r="B49" s="172">
        <f t="shared" si="2"/>
        <v>5963.31</v>
      </c>
      <c r="C49" s="4" t="e">
        <f t="shared" si="0"/>
        <v>#DIV/0!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spans="1:24" ht="14.25" customHeight="1" x14ac:dyDescent="0.25">
      <c r="A50" s="100">
        <f t="shared" si="1"/>
        <v>19</v>
      </c>
      <c r="B50" s="172">
        <f t="shared" si="2"/>
        <v>6294.6050000000005</v>
      </c>
      <c r="C50" s="4" t="e">
        <f t="shared" si="0"/>
        <v>#DIV/0!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spans="1:24" ht="14.25" customHeight="1" x14ac:dyDescent="0.25">
      <c r="A51" s="100">
        <f t="shared" si="1"/>
        <v>20</v>
      </c>
      <c r="B51" s="172">
        <f t="shared" si="2"/>
        <v>6625.9000000000005</v>
      </c>
      <c r="C51" s="4" t="e">
        <f t="shared" si="0"/>
        <v>#DIV/0!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spans="1:24" ht="14.25" customHeight="1" x14ac:dyDescent="0.25">
      <c r="A52" s="100">
        <f t="shared" si="1"/>
        <v>21</v>
      </c>
      <c r="B52" s="172">
        <f t="shared" si="2"/>
        <v>6957.1950000000006</v>
      </c>
      <c r="C52" s="4" t="e">
        <f t="shared" si="0"/>
        <v>#DIV/0!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spans="1:24" ht="14.25" customHeight="1" x14ac:dyDescent="0.25">
      <c r="A53" s="100">
        <f t="shared" si="1"/>
        <v>22</v>
      </c>
      <c r="B53" s="172">
        <f t="shared" si="2"/>
        <v>7288.4900000000007</v>
      </c>
      <c r="C53" s="4" t="e">
        <f t="shared" si="0"/>
        <v>#DIV/0!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spans="1:24" ht="14.25" customHeight="1" x14ac:dyDescent="0.25">
      <c r="A54" s="100">
        <f t="shared" si="1"/>
        <v>23</v>
      </c>
      <c r="B54" s="172">
        <f t="shared" si="2"/>
        <v>7619.7850000000008</v>
      </c>
      <c r="C54" s="4" t="e">
        <f t="shared" si="0"/>
        <v>#DIV/0!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spans="1:24" ht="14.25" customHeight="1" x14ac:dyDescent="0.25">
      <c r="A55" s="100">
        <f t="shared" si="1"/>
        <v>24</v>
      </c>
      <c r="B55" s="172">
        <f t="shared" si="2"/>
        <v>7951.08</v>
      </c>
      <c r="C55" s="4" t="e">
        <f t="shared" si="0"/>
        <v>#DIV/0!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spans="1:24" ht="14.25" customHeight="1" thickBot="1" x14ac:dyDescent="0.3">
      <c r="A56" s="101">
        <f t="shared" si="1"/>
        <v>25</v>
      </c>
      <c r="B56" s="174">
        <f t="shared" si="2"/>
        <v>8282.375</v>
      </c>
      <c r="C56" s="6" t="e">
        <f t="shared" si="0"/>
        <v>#DIV/0!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spans="1:24" ht="14.25" customHeight="1" x14ac:dyDescent="0.25">
      <c r="B57" s="175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spans="1:24" ht="14.25" customHeight="1" x14ac:dyDescent="0.25">
      <c r="A58" s="12"/>
      <c r="B58" s="175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spans="1:24" ht="14.25" customHeight="1" x14ac:dyDescent="0.25">
      <c r="A59" s="12"/>
      <c r="B59" s="175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spans="1:24" ht="14.25" customHeight="1" x14ac:dyDescent="0.25">
      <c r="A60" s="12"/>
      <c r="B60" s="175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spans="1:24" ht="14.25" customHeight="1" x14ac:dyDescent="0.25">
      <c r="A61" s="12"/>
      <c r="B61" s="175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4" ht="14.25" customHeight="1" x14ac:dyDescent="0.25">
      <c r="A62" s="12"/>
      <c r="B62" s="175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spans="1:24" ht="14.25" customHeight="1" x14ac:dyDescent="0.25">
      <c r="A63" s="12"/>
      <c r="B63" s="175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spans="1:24" ht="14.25" customHeight="1" x14ac:dyDescent="0.25">
      <c r="A64" s="12"/>
      <c r="B64" s="175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spans="1:24" ht="14.25" customHeight="1" x14ac:dyDescent="0.25">
      <c r="A65" s="12"/>
      <c r="B65" s="175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spans="1:24" ht="14.25" customHeight="1" x14ac:dyDescent="0.25">
      <c r="A66" s="12"/>
      <c r="B66" s="175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spans="1:24" ht="14.25" customHeight="1" x14ac:dyDescent="0.25">
      <c r="A67" s="12"/>
      <c r="B67" s="175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spans="1:24" ht="14.25" customHeight="1" x14ac:dyDescent="0.25">
      <c r="A68" s="12"/>
      <c r="B68" s="175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spans="1:24" ht="14.25" customHeight="1" x14ac:dyDescent="0.25">
      <c r="A69" s="12"/>
      <c r="B69" s="175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spans="1:24" ht="14.25" customHeight="1" x14ac:dyDescent="0.25">
      <c r="A70" s="12"/>
      <c r="B70" s="175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spans="1:24" ht="14.25" customHeight="1" x14ac:dyDescent="0.25">
      <c r="A71" s="12"/>
      <c r="B71" s="175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spans="1:24" ht="14.25" customHeight="1" x14ac:dyDescent="0.25">
      <c r="A72" s="12"/>
      <c r="B72" s="175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spans="1:24" ht="14.25" customHeight="1" x14ac:dyDescent="0.25">
      <c r="A73" s="12"/>
      <c r="B73" s="175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spans="1:24" ht="14.25" customHeight="1" x14ac:dyDescent="0.25">
      <c r="A74" s="12"/>
      <c r="B74" s="175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spans="1:24" ht="14.25" customHeight="1" x14ac:dyDescent="0.25">
      <c r="A75" s="12"/>
      <c r="B75" s="175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spans="1:24" ht="14.25" customHeight="1" x14ac:dyDescent="0.25">
      <c r="A76" s="12"/>
      <c r="B76" s="175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spans="1:24" ht="14.25" customHeight="1" x14ac:dyDescent="0.25">
      <c r="A77" s="12"/>
      <c r="B77" s="175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spans="1:24" ht="14.25" customHeight="1" x14ac:dyDescent="0.25">
      <c r="A78" s="12"/>
      <c r="B78" s="175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spans="1:24" ht="14.25" customHeight="1" x14ac:dyDescent="0.25">
      <c r="A79" s="12"/>
      <c r="B79" s="175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spans="1:24" ht="14.25" customHeight="1" x14ac:dyDescent="0.25">
      <c r="A80" s="12"/>
      <c r="B80" s="175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spans="1:24" ht="14.25" customHeight="1" x14ac:dyDescent="0.25">
      <c r="A81" s="12"/>
      <c r="B81" s="175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spans="1:24" ht="14.25" customHeight="1" x14ac:dyDescent="0.25">
      <c r="A82" s="12"/>
      <c r="B82" s="175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spans="1:24" ht="14.25" customHeight="1" x14ac:dyDescent="0.25">
      <c r="A83" s="12"/>
      <c r="B83" s="175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spans="1:24" ht="14.25" customHeight="1" x14ac:dyDescent="0.25">
      <c r="A84" s="12"/>
      <c r="B84" s="175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spans="1:24" ht="14.25" customHeight="1" x14ac:dyDescent="0.25">
      <c r="A85" s="12"/>
      <c r="B85" s="175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spans="1:24" ht="14.25" customHeight="1" x14ac:dyDescent="0.25">
      <c r="A86" s="12"/>
      <c r="B86" s="175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spans="1:24" ht="14.25" customHeight="1" x14ac:dyDescent="0.25">
      <c r="A87" s="12"/>
      <c r="B87" s="175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spans="1:24" ht="14.25" customHeight="1" x14ac:dyDescent="0.25">
      <c r="A88" s="12"/>
      <c r="B88" s="175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spans="1:24" ht="14.25" customHeight="1" x14ac:dyDescent="0.25">
      <c r="A89" s="12"/>
      <c r="B89" s="175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spans="1:24" ht="14.25" customHeight="1" x14ac:dyDescent="0.25">
      <c r="A90" s="12"/>
      <c r="B90" s="175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spans="1:24" ht="14.25" customHeight="1" x14ac:dyDescent="0.25">
      <c r="A91" s="12"/>
      <c r="B91" s="175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spans="1:24" ht="14.25" customHeight="1" x14ac:dyDescent="0.25">
      <c r="A92" s="12"/>
      <c r="B92" s="175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spans="1:24" ht="14.25" customHeight="1" x14ac:dyDescent="0.25">
      <c r="A93" s="12"/>
      <c r="B93" s="175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spans="1:24" ht="14.25" customHeight="1" x14ac:dyDescent="0.25">
      <c r="A94" s="12"/>
      <c r="B94" s="175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spans="1:24" ht="14.25" customHeight="1" x14ac:dyDescent="0.25">
      <c r="A95" s="12"/>
      <c r="B95" s="175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spans="1:24" ht="14.25" customHeight="1" x14ac:dyDescent="0.25">
      <c r="A96" s="12"/>
      <c r="B96" s="175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spans="1:24" ht="14.25" customHeight="1" x14ac:dyDescent="0.25">
      <c r="A97" s="12"/>
      <c r="B97" s="175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spans="1:24" ht="14.25" customHeight="1" x14ac:dyDescent="0.25">
      <c r="A98" s="12"/>
      <c r="B98" s="175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spans="1:24" ht="14.25" customHeight="1" x14ac:dyDescent="0.25">
      <c r="A99" s="12"/>
      <c r="B99" s="175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spans="1:24" ht="14.25" customHeight="1" x14ac:dyDescent="0.25">
      <c r="A100" s="12"/>
      <c r="B100" s="175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spans="1:24" ht="14.25" customHeight="1" x14ac:dyDescent="0.25">
      <c r="A101" s="12"/>
      <c r="B101" s="175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spans="1:24" ht="14.25" customHeight="1" x14ac:dyDescent="0.25">
      <c r="A102" s="12"/>
      <c r="B102" s="175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spans="1:24" ht="14.25" customHeight="1" x14ac:dyDescent="0.25">
      <c r="A103" s="12"/>
      <c r="B103" s="175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spans="1:24" ht="14.25" customHeight="1" x14ac:dyDescent="0.25">
      <c r="A104" s="12"/>
      <c r="B104" s="175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spans="1:24" ht="14.25" customHeight="1" x14ac:dyDescent="0.25">
      <c r="A105" s="12"/>
      <c r="B105" s="175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spans="1:24" ht="14.25" customHeight="1" x14ac:dyDescent="0.25">
      <c r="A106" s="12"/>
      <c r="B106" s="175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 spans="1:24" ht="14.25" customHeight="1" x14ac:dyDescent="0.25">
      <c r="A107" s="12"/>
      <c r="B107" s="175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spans="1:24" ht="14.25" customHeight="1" x14ac:dyDescent="0.25">
      <c r="A108" s="12"/>
      <c r="B108" s="175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spans="1:24" ht="14.25" customHeight="1" x14ac:dyDescent="0.25">
      <c r="A109" s="12"/>
      <c r="B109" s="175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spans="1:24" ht="14.25" customHeight="1" x14ac:dyDescent="0.25">
      <c r="A110" s="12"/>
      <c r="B110" s="175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 spans="1:24" ht="14.25" customHeight="1" x14ac:dyDescent="0.25">
      <c r="A111" s="12"/>
      <c r="B111" s="175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spans="1:24" ht="14.25" customHeight="1" x14ac:dyDescent="0.25">
      <c r="A112" s="12"/>
      <c r="B112" s="175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spans="1:24" ht="14.25" customHeight="1" x14ac:dyDescent="0.25">
      <c r="A113" s="12"/>
      <c r="B113" s="175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spans="1:24" ht="14.25" customHeight="1" x14ac:dyDescent="0.25">
      <c r="A114" s="12"/>
      <c r="B114" s="175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 spans="1:24" ht="14.25" customHeight="1" x14ac:dyDescent="0.25">
      <c r="A115" s="12"/>
      <c r="B115" s="175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 spans="1:24" ht="14.25" customHeight="1" x14ac:dyDescent="0.25">
      <c r="A116" s="12"/>
      <c r="B116" s="175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spans="1:24" ht="14.25" customHeight="1" x14ac:dyDescent="0.25">
      <c r="A117" s="12"/>
      <c r="B117" s="175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spans="1:24" ht="14.25" customHeight="1" x14ac:dyDescent="0.25">
      <c r="A118" s="12"/>
      <c r="B118" s="175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spans="1:24" ht="14.25" customHeight="1" x14ac:dyDescent="0.25">
      <c r="A119" s="12"/>
      <c r="B119" s="175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spans="1:24" ht="14.25" customHeight="1" x14ac:dyDescent="0.25">
      <c r="A120" s="12"/>
      <c r="B120" s="175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spans="1:24" ht="14.25" customHeight="1" x14ac:dyDescent="0.25">
      <c r="A121" s="12"/>
      <c r="B121" s="175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 spans="1:24" ht="14.25" customHeight="1" x14ac:dyDescent="0.25">
      <c r="A122" s="12"/>
      <c r="B122" s="175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spans="1:24" ht="14.25" customHeight="1" x14ac:dyDescent="0.25">
      <c r="A123" s="12"/>
      <c r="B123" s="175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 spans="1:24" ht="14.25" customHeight="1" x14ac:dyDescent="0.25">
      <c r="A124" s="12"/>
      <c r="B124" s="175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spans="1:24" ht="14.25" customHeight="1" x14ac:dyDescent="0.25">
      <c r="A125" s="12"/>
      <c r="B125" s="175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 spans="1:24" ht="14.25" customHeight="1" x14ac:dyDescent="0.25">
      <c r="A126" s="12"/>
      <c r="B126" s="175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 spans="1:24" ht="14.25" customHeight="1" x14ac:dyDescent="0.25">
      <c r="A127" s="12"/>
      <c r="B127" s="175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 spans="1:24" ht="14.25" customHeight="1" x14ac:dyDescent="0.25">
      <c r="A128" s="12"/>
      <c r="B128" s="175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 spans="1:24" ht="14.25" customHeight="1" x14ac:dyDescent="0.25">
      <c r="A129" s="12"/>
      <c r="B129" s="175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 spans="1:24" ht="14.25" customHeight="1" x14ac:dyDescent="0.25">
      <c r="A130" s="12"/>
      <c r="B130" s="175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 spans="1:24" ht="14.25" customHeight="1" x14ac:dyDescent="0.25">
      <c r="A131" s="12"/>
      <c r="B131" s="175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spans="1:24" ht="14.25" customHeight="1" x14ac:dyDescent="0.25">
      <c r="A132" s="12"/>
      <c r="B132" s="175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 spans="1:24" ht="14.25" customHeight="1" x14ac:dyDescent="0.25">
      <c r="A133" s="12"/>
      <c r="B133" s="175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ht="14.25" customHeight="1" x14ac:dyDescent="0.25">
      <c r="A134" s="12"/>
      <c r="B134" s="175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 spans="1:24" ht="14.25" customHeight="1" x14ac:dyDescent="0.25">
      <c r="A135" s="12"/>
      <c r="B135" s="175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 spans="1:24" ht="14.25" customHeight="1" x14ac:dyDescent="0.25">
      <c r="A136" s="12"/>
      <c r="B136" s="175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 spans="1:24" ht="14.25" customHeight="1" x14ac:dyDescent="0.25">
      <c r="A137" s="12"/>
      <c r="B137" s="175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 spans="1:24" ht="14.25" customHeight="1" x14ac:dyDescent="0.25">
      <c r="A138" s="12"/>
      <c r="B138" s="175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 spans="1:24" ht="14.25" customHeight="1" x14ac:dyDescent="0.25">
      <c r="A139" s="12"/>
      <c r="B139" s="175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 spans="1:24" ht="14.25" customHeight="1" x14ac:dyDescent="0.25">
      <c r="A140" s="12"/>
      <c r="B140" s="175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 spans="1:24" ht="14.25" customHeight="1" x14ac:dyDescent="0.25">
      <c r="A141" s="12"/>
      <c r="B141" s="175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spans="1:24" ht="14.25" customHeight="1" x14ac:dyDescent="0.25">
      <c r="A142" s="12"/>
      <c r="B142" s="175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spans="1:24" ht="14.25" customHeight="1" x14ac:dyDescent="0.25">
      <c r="A143" s="12"/>
      <c r="B143" s="175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 spans="1:24" ht="14.25" customHeight="1" x14ac:dyDescent="0.25">
      <c r="A144" s="12"/>
      <c r="B144" s="175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 spans="1:24" ht="14.25" customHeight="1" x14ac:dyDescent="0.25">
      <c r="A145" s="12"/>
      <c r="B145" s="175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 spans="1:24" ht="14.25" customHeight="1" x14ac:dyDescent="0.25">
      <c r="A146" s="12"/>
      <c r="B146" s="175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 spans="1:24" ht="14.25" customHeight="1" x14ac:dyDescent="0.25">
      <c r="A147" s="12"/>
      <c r="B147" s="175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 spans="1:24" ht="14.25" customHeight="1" x14ac:dyDescent="0.25">
      <c r="A148" s="12"/>
      <c r="B148" s="175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 spans="1:24" ht="14.25" customHeight="1" x14ac:dyDescent="0.25">
      <c r="A149" s="12"/>
      <c r="B149" s="175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 spans="1:24" ht="14.25" customHeight="1" x14ac:dyDescent="0.25">
      <c r="A150" s="12"/>
      <c r="B150" s="175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 spans="1:24" ht="14.25" customHeight="1" x14ac:dyDescent="0.25">
      <c r="A151" s="12"/>
      <c r="B151" s="175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 spans="1:24" ht="14.25" customHeight="1" x14ac:dyDescent="0.25">
      <c r="A152" s="12"/>
      <c r="B152" s="175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 spans="1:24" ht="14.25" customHeight="1" x14ac:dyDescent="0.25">
      <c r="A153" s="12"/>
      <c r="B153" s="175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 spans="1:24" ht="14.25" customHeight="1" x14ac:dyDescent="0.25">
      <c r="A154" s="12"/>
      <c r="B154" s="175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 spans="1:24" ht="14.25" customHeight="1" x14ac:dyDescent="0.25">
      <c r="A155" s="12"/>
      <c r="B155" s="175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 spans="1:24" ht="14.25" customHeight="1" x14ac:dyDescent="0.25">
      <c r="A156" s="12"/>
      <c r="B156" s="175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 spans="1:24" ht="14.25" customHeight="1" x14ac:dyDescent="0.25">
      <c r="A157" s="12"/>
      <c r="B157" s="175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 spans="1:24" ht="14.25" customHeight="1" x14ac:dyDescent="0.25">
      <c r="A158" s="12"/>
      <c r="B158" s="175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 spans="1:24" ht="14.25" customHeight="1" x14ac:dyDescent="0.25">
      <c r="A159" s="12"/>
      <c r="B159" s="175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 spans="1:24" ht="14.25" customHeight="1" x14ac:dyDescent="0.25">
      <c r="A160" s="12"/>
      <c r="B160" s="175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 spans="1:24" ht="14.25" customHeight="1" x14ac:dyDescent="0.25">
      <c r="A161" s="12"/>
      <c r="B161" s="175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 spans="1:24" ht="14.25" customHeight="1" x14ac:dyDescent="0.25">
      <c r="A162" s="12"/>
      <c r="B162" s="175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 spans="1:24" ht="14.25" customHeight="1" x14ac:dyDescent="0.25">
      <c r="A163" s="12"/>
      <c r="B163" s="175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 spans="1:24" ht="14.25" customHeight="1" x14ac:dyDescent="0.25">
      <c r="A164" s="12"/>
      <c r="B164" s="175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 spans="1:24" ht="14.25" customHeight="1" x14ac:dyDescent="0.25">
      <c r="A165" s="12"/>
      <c r="B165" s="175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 spans="1:24" ht="14.25" customHeight="1" x14ac:dyDescent="0.25">
      <c r="A166" s="12"/>
      <c r="B166" s="175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 spans="1:24" ht="14.25" customHeight="1" x14ac:dyDescent="0.25">
      <c r="A167" s="12"/>
      <c r="B167" s="175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 spans="1:24" ht="14.25" customHeight="1" x14ac:dyDescent="0.25">
      <c r="A168" s="12"/>
      <c r="B168" s="175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spans="1:24" ht="14.25" customHeight="1" x14ac:dyDescent="0.25">
      <c r="A169" s="12"/>
      <c r="B169" s="175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 spans="1:24" ht="14.25" customHeight="1" x14ac:dyDescent="0.25">
      <c r="A170" s="12"/>
      <c r="B170" s="175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 spans="1:24" ht="14.25" customHeight="1" x14ac:dyDescent="0.25">
      <c r="A171" s="12"/>
      <c r="B171" s="175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 spans="1:24" ht="14.25" customHeight="1" x14ac:dyDescent="0.25">
      <c r="A172" s="12"/>
      <c r="B172" s="175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 spans="1:24" ht="14.25" customHeight="1" x14ac:dyDescent="0.25">
      <c r="A173" s="12"/>
      <c r="B173" s="175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 spans="1:24" ht="14.25" customHeight="1" x14ac:dyDescent="0.25">
      <c r="A174" s="12"/>
      <c r="B174" s="175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spans="1:24" ht="14.25" customHeight="1" x14ac:dyDescent="0.25">
      <c r="A175" s="12"/>
      <c r="B175" s="175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 spans="1:24" ht="14.25" customHeight="1" x14ac:dyDescent="0.25">
      <c r="A176" s="12"/>
      <c r="B176" s="175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spans="1:24" ht="14.25" customHeight="1" x14ac:dyDescent="0.25">
      <c r="A177" s="12"/>
      <c r="B177" s="175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spans="1:24" ht="14.25" customHeight="1" x14ac:dyDescent="0.25">
      <c r="A178" s="12"/>
      <c r="B178" s="175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 spans="1:24" ht="14.25" customHeight="1" x14ac:dyDescent="0.25">
      <c r="A179" s="12"/>
      <c r="B179" s="175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 spans="1:24" ht="14.25" customHeight="1" x14ac:dyDescent="0.25">
      <c r="A180" s="12"/>
      <c r="B180" s="175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 spans="1:24" ht="14.25" customHeight="1" x14ac:dyDescent="0.25">
      <c r="A181" s="12"/>
      <c r="B181" s="175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 spans="1:24" ht="14.25" customHeight="1" x14ac:dyDescent="0.25">
      <c r="A182" s="12"/>
      <c r="B182" s="175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 spans="1:24" ht="14.25" customHeight="1" x14ac:dyDescent="0.25">
      <c r="A183" s="12"/>
      <c r="B183" s="175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 spans="1:24" ht="14.25" customHeight="1" x14ac:dyDescent="0.25">
      <c r="A184" s="12"/>
      <c r="B184" s="175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 spans="1:24" ht="14.25" customHeight="1" x14ac:dyDescent="0.25">
      <c r="A185" s="12"/>
      <c r="B185" s="175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 spans="1:24" ht="14.25" customHeight="1" x14ac:dyDescent="0.25">
      <c r="A186" s="12"/>
      <c r="B186" s="175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 spans="1:24" ht="14.25" customHeight="1" x14ac:dyDescent="0.25">
      <c r="A187" s="12"/>
      <c r="B187" s="175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 spans="1:24" ht="14.25" customHeight="1" x14ac:dyDescent="0.25">
      <c r="A188" s="12"/>
      <c r="B188" s="175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spans="1:24" ht="14.25" customHeight="1" x14ac:dyDescent="0.25">
      <c r="A189" s="12"/>
      <c r="B189" s="175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spans="1:24" ht="14.25" customHeight="1" x14ac:dyDescent="0.25">
      <c r="A190" s="12"/>
      <c r="B190" s="175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 spans="1:24" ht="14.25" customHeight="1" x14ac:dyDescent="0.25">
      <c r="A191" s="12"/>
      <c r="B191" s="175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 spans="1:24" ht="14.25" customHeight="1" x14ac:dyDescent="0.25">
      <c r="A192" s="12"/>
      <c r="B192" s="175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 spans="1:24" ht="14.25" customHeight="1" x14ac:dyDescent="0.25">
      <c r="A193" s="12"/>
      <c r="B193" s="175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 spans="1:24" ht="14.25" customHeight="1" x14ac:dyDescent="0.25">
      <c r="A194" s="12"/>
      <c r="B194" s="175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 spans="1:24" ht="14.25" customHeight="1" x14ac:dyDescent="0.25">
      <c r="A195" s="12"/>
      <c r="B195" s="175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 spans="1:24" ht="14.25" customHeight="1" x14ac:dyDescent="0.25">
      <c r="A196" s="12"/>
      <c r="B196" s="175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 spans="1:24" ht="14.25" customHeight="1" x14ac:dyDescent="0.25">
      <c r="A197" s="12"/>
      <c r="B197" s="175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 spans="1:24" ht="14.25" customHeight="1" x14ac:dyDescent="0.25">
      <c r="A198" s="12"/>
      <c r="B198" s="175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 spans="1:24" ht="14.25" customHeight="1" x14ac:dyDescent="0.25">
      <c r="A199" s="12"/>
      <c r="B199" s="175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 spans="1:24" ht="14.25" customHeight="1" x14ac:dyDescent="0.25">
      <c r="A200" s="12"/>
      <c r="B200" s="175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 spans="1:24" ht="14.25" customHeight="1" x14ac:dyDescent="0.25">
      <c r="A201" s="12"/>
      <c r="B201" s="175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 spans="1:24" ht="14.25" customHeight="1" x14ac:dyDescent="0.25">
      <c r="A202" s="12"/>
      <c r="B202" s="175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 spans="1:24" ht="14.25" customHeight="1" x14ac:dyDescent="0.25">
      <c r="A203" s="12"/>
      <c r="B203" s="175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 spans="1:24" ht="14.25" customHeight="1" x14ac:dyDescent="0.25">
      <c r="A204" s="12"/>
      <c r="B204" s="175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 spans="1:24" ht="14.25" customHeight="1" x14ac:dyDescent="0.25">
      <c r="A205" s="12"/>
      <c r="B205" s="175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 spans="1:24" ht="14.25" customHeight="1" x14ac:dyDescent="0.25">
      <c r="A206" s="12"/>
      <c r="B206" s="175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 spans="1:24" ht="14.25" customHeight="1" x14ac:dyDescent="0.25">
      <c r="A207" s="12"/>
      <c r="B207" s="175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 spans="1:24" ht="14.25" customHeight="1" x14ac:dyDescent="0.25">
      <c r="A208" s="12"/>
      <c r="B208" s="175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 spans="1:24" ht="14.25" customHeight="1" x14ac:dyDescent="0.25">
      <c r="A209" s="12"/>
      <c r="B209" s="175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 spans="1:24" ht="14.25" customHeight="1" x14ac:dyDescent="0.25">
      <c r="A210" s="12"/>
      <c r="B210" s="175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 spans="1:24" ht="14.25" customHeight="1" x14ac:dyDescent="0.25">
      <c r="A211" s="12"/>
      <c r="B211" s="175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 spans="1:24" ht="14.25" customHeight="1" x14ac:dyDescent="0.25">
      <c r="A212" s="12"/>
      <c r="B212" s="175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 spans="1:24" ht="14.25" customHeight="1" x14ac:dyDescent="0.25">
      <c r="A213" s="12"/>
      <c r="B213" s="175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 spans="1:24" ht="14.25" customHeight="1" x14ac:dyDescent="0.25">
      <c r="A214" s="12"/>
      <c r="B214" s="175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 spans="1:24" ht="14.25" customHeight="1" x14ac:dyDescent="0.25">
      <c r="A215" s="12"/>
      <c r="B215" s="175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 spans="1:24" ht="14.25" customHeight="1" x14ac:dyDescent="0.25">
      <c r="A216" s="12"/>
      <c r="B216" s="175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 spans="1:24" ht="14.25" customHeight="1" x14ac:dyDescent="0.25">
      <c r="A217" s="12"/>
      <c r="B217" s="175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 spans="1:24" ht="14.25" customHeight="1" x14ac:dyDescent="0.25">
      <c r="A218" s="12"/>
      <c r="B218" s="175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 spans="1:24" ht="14.25" customHeight="1" x14ac:dyDescent="0.25">
      <c r="A219" s="12"/>
      <c r="B219" s="175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 spans="1:24" ht="14.25" customHeight="1" x14ac:dyDescent="0.25">
      <c r="A220" s="12"/>
      <c r="B220" s="175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spans="1:24" ht="14.25" customHeight="1" x14ac:dyDescent="0.25">
      <c r="A221" s="12"/>
      <c r="B221" s="175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 spans="1:24" ht="14.25" customHeight="1" x14ac:dyDescent="0.25">
      <c r="A222" s="12"/>
      <c r="B222" s="175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 spans="1:24" ht="14.25" customHeight="1" x14ac:dyDescent="0.25">
      <c r="A223" s="12"/>
      <c r="B223" s="175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 spans="1:24" ht="14.25" customHeight="1" x14ac:dyDescent="0.25">
      <c r="A224" s="12"/>
      <c r="B224" s="175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 spans="1:24" ht="14.25" customHeight="1" x14ac:dyDescent="0.25">
      <c r="A225" s="12"/>
      <c r="B225" s="175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 spans="1:24" ht="14.25" customHeight="1" x14ac:dyDescent="0.25">
      <c r="A226" s="12"/>
      <c r="B226" s="175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 spans="1:24" ht="14.25" customHeight="1" x14ac:dyDescent="0.25">
      <c r="A227" s="12"/>
      <c r="B227" s="175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 spans="1:24" ht="14.25" customHeight="1" x14ac:dyDescent="0.25">
      <c r="A228" s="12"/>
      <c r="B228" s="175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 spans="1:24" ht="14.25" customHeight="1" x14ac:dyDescent="0.25">
      <c r="A229" s="12"/>
      <c r="B229" s="175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 spans="1:24" ht="14.25" customHeight="1" x14ac:dyDescent="0.25">
      <c r="A230" s="12"/>
      <c r="B230" s="175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 spans="1:24" ht="14.25" customHeight="1" x14ac:dyDescent="0.25">
      <c r="A231" s="12"/>
      <c r="B231" s="175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 spans="1:24" ht="14.25" customHeight="1" x14ac:dyDescent="0.25">
      <c r="A232" s="12"/>
      <c r="B232" s="175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4.25" customHeight="1" x14ac:dyDescent="0.25">
      <c r="A233" s="12"/>
      <c r="B233" s="175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4.25" customHeight="1" x14ac:dyDescent="0.25">
      <c r="A234" s="12"/>
      <c r="B234" s="175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4.25" customHeight="1" x14ac:dyDescent="0.25">
      <c r="A235" s="12"/>
      <c r="B235" s="175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4.25" customHeight="1" x14ac:dyDescent="0.25">
      <c r="A236" s="12"/>
      <c r="B236" s="175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4.25" customHeight="1" x14ac:dyDescent="0.25">
      <c r="A237" s="12"/>
      <c r="B237" s="175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4.25" customHeight="1" x14ac:dyDescent="0.25">
      <c r="A238" s="12"/>
      <c r="B238" s="175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4.25" customHeight="1" x14ac:dyDescent="0.25">
      <c r="A239" s="12"/>
      <c r="B239" s="175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4.25" customHeight="1" x14ac:dyDescent="0.25">
      <c r="A240" s="12"/>
      <c r="B240" s="175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4.25" customHeight="1" x14ac:dyDescent="0.25">
      <c r="A241" s="12"/>
      <c r="B241" s="175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4.25" customHeight="1" x14ac:dyDescent="0.25">
      <c r="A242" s="12"/>
      <c r="B242" s="175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4.25" customHeight="1" x14ac:dyDescent="0.25">
      <c r="A243" s="12"/>
      <c r="B243" s="175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4.25" customHeight="1" x14ac:dyDescent="0.25">
      <c r="A244" s="12"/>
      <c r="B244" s="175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4.25" customHeight="1" x14ac:dyDescent="0.25">
      <c r="A245" s="12"/>
      <c r="B245" s="175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4.25" customHeight="1" x14ac:dyDescent="0.25">
      <c r="A246" s="12"/>
      <c r="B246" s="175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4.25" customHeight="1" x14ac:dyDescent="0.25">
      <c r="A247" s="12"/>
      <c r="B247" s="175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4.25" customHeight="1" x14ac:dyDescent="0.25">
      <c r="A248" s="12"/>
      <c r="B248" s="175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4.25" customHeight="1" x14ac:dyDescent="0.25">
      <c r="A249" s="12"/>
      <c r="B249" s="175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4.25" customHeight="1" x14ac:dyDescent="0.25">
      <c r="A250" s="12"/>
      <c r="B250" s="175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4.25" customHeight="1" x14ac:dyDescent="0.25">
      <c r="A251" s="12"/>
      <c r="B251" s="175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4.25" customHeight="1" x14ac:dyDescent="0.25">
      <c r="A252" s="12"/>
      <c r="B252" s="175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4.25" customHeight="1" x14ac:dyDescent="0.25">
      <c r="A253" s="12"/>
      <c r="B253" s="175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4.25" customHeight="1" x14ac:dyDescent="0.25">
      <c r="A254" s="12"/>
      <c r="B254" s="175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4.25" customHeight="1" x14ac:dyDescent="0.25">
      <c r="A255" s="12"/>
      <c r="B255" s="175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4.25" customHeight="1" x14ac:dyDescent="0.25">
      <c r="A256" s="12"/>
      <c r="B256" s="175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4.25" customHeight="1" x14ac:dyDescent="0.25">
      <c r="A257" s="12"/>
      <c r="B257" s="175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4.25" customHeight="1" x14ac:dyDescent="0.25">
      <c r="A258" s="12"/>
      <c r="B258" s="175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4.25" customHeight="1" x14ac:dyDescent="0.25">
      <c r="A259" s="12"/>
      <c r="B259" s="175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4.25" customHeight="1" x14ac:dyDescent="0.25">
      <c r="A260" s="12"/>
      <c r="B260" s="175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4.25" customHeight="1" x14ac:dyDescent="0.25">
      <c r="A261" s="12"/>
      <c r="B261" s="175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4.25" customHeight="1" x14ac:dyDescent="0.25">
      <c r="A262" s="12"/>
      <c r="B262" s="175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4.25" customHeight="1" x14ac:dyDescent="0.25">
      <c r="A263" s="12"/>
      <c r="B263" s="175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4.25" customHeight="1" x14ac:dyDescent="0.25">
      <c r="A264" s="12"/>
      <c r="B264" s="175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4.25" customHeight="1" x14ac:dyDescent="0.25">
      <c r="A265" s="12"/>
      <c r="B265" s="175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4.25" customHeight="1" x14ac:dyDescent="0.25">
      <c r="A266" s="12"/>
      <c r="B266" s="175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4.25" customHeight="1" x14ac:dyDescent="0.25">
      <c r="A267" s="12"/>
      <c r="B267" s="175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4.25" customHeight="1" x14ac:dyDescent="0.25">
      <c r="A268" s="12"/>
      <c r="B268" s="175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4.25" customHeight="1" x14ac:dyDescent="0.25">
      <c r="A269" s="12"/>
      <c r="B269" s="175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4.25" customHeight="1" x14ac:dyDescent="0.25">
      <c r="A270" s="12"/>
      <c r="B270" s="175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4.25" customHeight="1" x14ac:dyDescent="0.25">
      <c r="A271" s="12"/>
      <c r="B271" s="175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4.25" customHeight="1" x14ac:dyDescent="0.25">
      <c r="A272" s="12"/>
      <c r="B272" s="175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4.25" customHeight="1" x14ac:dyDescent="0.25">
      <c r="A273" s="12"/>
      <c r="B273" s="175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4.25" customHeight="1" x14ac:dyDescent="0.25">
      <c r="A274" s="12"/>
      <c r="B274" s="175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4.25" customHeight="1" x14ac:dyDescent="0.25">
      <c r="A275" s="12"/>
      <c r="B275" s="175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4.25" customHeight="1" x14ac:dyDescent="0.25">
      <c r="A276" s="12"/>
      <c r="B276" s="175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4.25" customHeight="1" x14ac:dyDescent="0.25">
      <c r="A277" s="12"/>
      <c r="B277" s="175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4.25" customHeight="1" x14ac:dyDescent="0.25">
      <c r="A278" s="12"/>
      <c r="B278" s="175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4.25" customHeight="1" x14ac:dyDescent="0.25">
      <c r="A279" s="12"/>
      <c r="B279" s="175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4.25" customHeight="1" x14ac:dyDescent="0.25">
      <c r="A280" s="12"/>
      <c r="B280" s="175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4.25" customHeight="1" x14ac:dyDescent="0.25">
      <c r="A281" s="12"/>
      <c r="B281" s="175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4.25" customHeight="1" x14ac:dyDescent="0.25">
      <c r="A282" s="12"/>
      <c r="B282" s="175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4.25" customHeight="1" x14ac:dyDescent="0.25">
      <c r="A283" s="12"/>
      <c r="B283" s="175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4.25" customHeight="1" x14ac:dyDescent="0.25">
      <c r="A284" s="12"/>
      <c r="B284" s="175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4.25" customHeight="1" x14ac:dyDescent="0.25">
      <c r="A285" s="12"/>
      <c r="B285" s="175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4.25" customHeight="1" x14ac:dyDescent="0.25">
      <c r="A286" s="12"/>
      <c r="B286" s="175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4.25" customHeight="1" x14ac:dyDescent="0.25">
      <c r="A287" s="12"/>
      <c r="B287" s="175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4.25" customHeight="1" x14ac:dyDescent="0.25">
      <c r="A288" s="12"/>
      <c r="B288" s="175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4.25" customHeight="1" x14ac:dyDescent="0.25">
      <c r="A289" s="12"/>
      <c r="B289" s="175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4.25" customHeight="1" x14ac:dyDescent="0.25">
      <c r="A290" s="12"/>
      <c r="B290" s="175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4.25" customHeight="1" x14ac:dyDescent="0.25">
      <c r="A291" s="12"/>
      <c r="B291" s="175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4.25" customHeight="1" x14ac:dyDescent="0.25">
      <c r="A292" s="12"/>
      <c r="B292" s="175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4.25" customHeight="1" x14ac:dyDescent="0.25">
      <c r="A293" s="12"/>
      <c r="B293" s="175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4.25" customHeight="1" x14ac:dyDescent="0.25">
      <c r="A294" s="12"/>
      <c r="B294" s="175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4.25" customHeight="1" x14ac:dyDescent="0.25">
      <c r="A295" s="12"/>
      <c r="B295" s="175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4.25" customHeight="1" x14ac:dyDescent="0.25">
      <c r="A296" s="12"/>
      <c r="B296" s="175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4.25" customHeight="1" x14ac:dyDescent="0.25">
      <c r="A297" s="12"/>
      <c r="B297" s="175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4.25" customHeight="1" x14ac:dyDescent="0.25">
      <c r="A298" s="12"/>
      <c r="B298" s="175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4.25" customHeight="1" x14ac:dyDescent="0.25">
      <c r="A299" s="12"/>
      <c r="B299" s="175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4.25" customHeight="1" x14ac:dyDescent="0.25">
      <c r="A300" s="12"/>
      <c r="B300" s="175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4.25" customHeight="1" x14ac:dyDescent="0.25">
      <c r="A301" s="12"/>
      <c r="B301" s="175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4.25" customHeight="1" x14ac:dyDescent="0.25">
      <c r="A302" s="12"/>
      <c r="B302" s="175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4.25" customHeight="1" x14ac:dyDescent="0.25">
      <c r="A303" s="12"/>
      <c r="B303" s="175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4.25" customHeight="1" x14ac:dyDescent="0.25">
      <c r="A304" s="12"/>
      <c r="B304" s="175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4.25" customHeight="1" x14ac:dyDescent="0.25">
      <c r="A305" s="12"/>
      <c r="B305" s="175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4.25" customHeight="1" x14ac:dyDescent="0.25">
      <c r="A306" s="12"/>
      <c r="B306" s="175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4.25" customHeight="1" x14ac:dyDescent="0.25">
      <c r="A307" s="12"/>
      <c r="B307" s="175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4.25" customHeight="1" x14ac:dyDescent="0.25">
      <c r="A308" s="12"/>
      <c r="B308" s="175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4.25" customHeight="1" x14ac:dyDescent="0.25">
      <c r="A309" s="12"/>
      <c r="B309" s="175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4.25" customHeight="1" x14ac:dyDescent="0.25">
      <c r="A310" s="12"/>
      <c r="B310" s="175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4.25" customHeight="1" x14ac:dyDescent="0.25">
      <c r="A311" s="12"/>
      <c r="B311" s="175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4.25" customHeight="1" x14ac:dyDescent="0.25">
      <c r="A312" s="12"/>
      <c r="B312" s="175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4.25" customHeight="1" x14ac:dyDescent="0.25">
      <c r="A313" s="12"/>
      <c r="B313" s="175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4.25" customHeight="1" x14ac:dyDescent="0.25">
      <c r="A314" s="12"/>
      <c r="B314" s="175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4.25" customHeight="1" x14ac:dyDescent="0.25">
      <c r="A315" s="12"/>
      <c r="B315" s="175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4.25" customHeight="1" x14ac:dyDescent="0.25">
      <c r="A316" s="12"/>
      <c r="B316" s="175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4.25" customHeight="1" x14ac:dyDescent="0.25">
      <c r="A317" s="12"/>
      <c r="B317" s="175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4.25" customHeight="1" x14ac:dyDescent="0.25">
      <c r="A318" s="12"/>
      <c r="B318" s="175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4.25" customHeight="1" x14ac:dyDescent="0.25">
      <c r="A319" s="12"/>
      <c r="B319" s="175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4.25" customHeight="1" x14ac:dyDescent="0.25">
      <c r="A320" s="12"/>
      <c r="B320" s="175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4.25" customHeight="1" x14ac:dyDescent="0.25">
      <c r="A321" s="12"/>
      <c r="B321" s="175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4.25" customHeight="1" x14ac:dyDescent="0.25">
      <c r="A322" s="12"/>
      <c r="B322" s="175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4.25" customHeight="1" x14ac:dyDescent="0.25">
      <c r="A323" s="12"/>
      <c r="B323" s="175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4.25" customHeight="1" x14ac:dyDescent="0.25">
      <c r="A324" s="12"/>
      <c r="B324" s="175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4.25" customHeight="1" x14ac:dyDescent="0.25">
      <c r="A325" s="12"/>
      <c r="B325" s="175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4.25" customHeight="1" x14ac:dyDescent="0.25">
      <c r="A326" s="12"/>
      <c r="B326" s="175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4.25" customHeight="1" x14ac:dyDescent="0.25">
      <c r="A327" s="12"/>
      <c r="B327" s="175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4.25" customHeight="1" x14ac:dyDescent="0.25">
      <c r="A328" s="12"/>
      <c r="B328" s="175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4.25" customHeight="1" x14ac:dyDescent="0.25">
      <c r="A329" s="12"/>
      <c r="B329" s="175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4.25" customHeight="1" x14ac:dyDescent="0.25">
      <c r="A330" s="12"/>
      <c r="B330" s="175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4.25" customHeight="1" x14ac:dyDescent="0.25">
      <c r="A331" s="12"/>
      <c r="B331" s="175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4.25" customHeight="1" x14ac:dyDescent="0.25">
      <c r="A332" s="12"/>
      <c r="B332" s="175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4.25" customHeight="1" x14ac:dyDescent="0.25">
      <c r="A333" s="12"/>
      <c r="B333" s="175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4.25" customHeight="1" x14ac:dyDescent="0.25">
      <c r="A334" s="12"/>
      <c r="B334" s="175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4.25" customHeight="1" x14ac:dyDescent="0.25">
      <c r="A335" s="12"/>
      <c r="B335" s="175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4.25" customHeight="1" x14ac:dyDescent="0.25">
      <c r="A336" s="12"/>
      <c r="B336" s="175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4.25" customHeight="1" x14ac:dyDescent="0.25">
      <c r="A337" s="12"/>
      <c r="B337" s="175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4.25" customHeight="1" x14ac:dyDescent="0.25">
      <c r="A338" s="12"/>
      <c r="B338" s="175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4.25" customHeight="1" x14ac:dyDescent="0.25">
      <c r="A339" s="12"/>
      <c r="B339" s="175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4.25" customHeight="1" x14ac:dyDescent="0.25">
      <c r="A340" s="12"/>
      <c r="B340" s="175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4.25" customHeight="1" x14ac:dyDescent="0.25">
      <c r="A341" s="12"/>
      <c r="B341" s="175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4.25" customHeight="1" x14ac:dyDescent="0.25">
      <c r="A342" s="12"/>
      <c r="B342" s="175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4.25" customHeight="1" x14ac:dyDescent="0.25">
      <c r="A343" s="12"/>
      <c r="B343" s="175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4.25" customHeight="1" x14ac:dyDescent="0.25">
      <c r="A344" s="12"/>
      <c r="B344" s="175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4.25" customHeight="1" x14ac:dyDescent="0.25">
      <c r="A345" s="12"/>
      <c r="B345" s="175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4.25" customHeight="1" x14ac:dyDescent="0.25">
      <c r="A346" s="12"/>
      <c r="B346" s="175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4.25" customHeight="1" x14ac:dyDescent="0.25">
      <c r="A347" s="12"/>
      <c r="B347" s="175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4.25" customHeight="1" x14ac:dyDescent="0.25">
      <c r="A348" s="12"/>
      <c r="B348" s="175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4.25" customHeight="1" x14ac:dyDescent="0.25">
      <c r="A349" s="12"/>
      <c r="B349" s="175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4.25" customHeight="1" x14ac:dyDescent="0.25">
      <c r="A350" s="12"/>
      <c r="B350" s="175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4.25" customHeight="1" x14ac:dyDescent="0.25">
      <c r="A351" s="12"/>
      <c r="B351" s="175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4.25" customHeight="1" x14ac:dyDescent="0.25">
      <c r="A352" s="12"/>
      <c r="B352" s="175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4.25" customHeight="1" x14ac:dyDescent="0.25">
      <c r="A353" s="12"/>
      <c r="B353" s="175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4.25" customHeight="1" x14ac:dyDescent="0.25">
      <c r="A354" s="12"/>
      <c r="B354" s="175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4.25" customHeight="1" x14ac:dyDescent="0.25">
      <c r="A355" s="12"/>
      <c r="B355" s="175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4.25" customHeight="1" x14ac:dyDescent="0.25">
      <c r="A356" s="12"/>
      <c r="B356" s="175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4.25" customHeight="1" x14ac:dyDescent="0.25">
      <c r="A357" s="12"/>
      <c r="B357" s="175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4.25" customHeight="1" x14ac:dyDescent="0.25">
      <c r="A358" s="12"/>
      <c r="B358" s="175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4.25" customHeight="1" x14ac:dyDescent="0.25">
      <c r="A359" s="12"/>
      <c r="B359" s="175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4.25" customHeight="1" x14ac:dyDescent="0.25">
      <c r="A360" s="12"/>
      <c r="B360" s="175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4.25" customHeight="1" x14ac:dyDescent="0.25">
      <c r="A361" s="12"/>
      <c r="B361" s="175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4.25" customHeight="1" x14ac:dyDescent="0.25">
      <c r="A362" s="12"/>
      <c r="B362" s="175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4.25" customHeight="1" x14ac:dyDescent="0.25">
      <c r="A363" s="12"/>
      <c r="B363" s="175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4.25" customHeight="1" x14ac:dyDescent="0.25">
      <c r="A364" s="12"/>
      <c r="B364" s="175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4.25" customHeight="1" x14ac:dyDescent="0.25">
      <c r="A365" s="12"/>
      <c r="B365" s="175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4.25" customHeight="1" x14ac:dyDescent="0.25">
      <c r="A366" s="12"/>
      <c r="B366" s="175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4.25" customHeight="1" x14ac:dyDescent="0.25">
      <c r="A367" s="12"/>
      <c r="B367" s="175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4.25" customHeight="1" x14ac:dyDescent="0.25">
      <c r="A368" s="12"/>
      <c r="B368" s="175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4.25" customHeight="1" x14ac:dyDescent="0.25">
      <c r="A369" s="12"/>
      <c r="B369" s="175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4.25" customHeight="1" x14ac:dyDescent="0.25">
      <c r="A370" s="12"/>
      <c r="B370" s="175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4.25" customHeight="1" x14ac:dyDescent="0.25">
      <c r="A371" s="12"/>
      <c r="B371" s="175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4.25" customHeight="1" x14ac:dyDescent="0.25">
      <c r="A372" s="12"/>
      <c r="B372" s="175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4.25" customHeight="1" x14ac:dyDescent="0.25">
      <c r="A373" s="12"/>
      <c r="B373" s="175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4.25" customHeight="1" x14ac:dyDescent="0.25">
      <c r="A374" s="12"/>
      <c r="B374" s="175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4.25" customHeight="1" x14ac:dyDescent="0.25">
      <c r="A375" s="12"/>
      <c r="B375" s="175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4.25" customHeight="1" x14ac:dyDescent="0.25">
      <c r="A376" s="12"/>
      <c r="B376" s="175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4.25" customHeight="1" x14ac:dyDescent="0.25">
      <c r="A377" s="12"/>
      <c r="B377" s="175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4.25" customHeight="1" x14ac:dyDescent="0.25">
      <c r="A378" s="12"/>
      <c r="B378" s="175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4.25" customHeight="1" x14ac:dyDescent="0.25">
      <c r="A379" s="12"/>
      <c r="B379" s="175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4.25" customHeight="1" x14ac:dyDescent="0.25">
      <c r="A380" s="12"/>
      <c r="B380" s="175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4.25" customHeight="1" x14ac:dyDescent="0.25">
      <c r="A381" s="12"/>
      <c r="B381" s="175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4.25" customHeight="1" x14ac:dyDescent="0.25">
      <c r="A382" s="12"/>
      <c r="B382" s="175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4.25" customHeight="1" x14ac:dyDescent="0.25">
      <c r="A383" s="12"/>
      <c r="B383" s="175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4.25" customHeight="1" x14ac:dyDescent="0.25">
      <c r="A384" s="12"/>
      <c r="B384" s="175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4.25" customHeight="1" x14ac:dyDescent="0.25">
      <c r="A385" s="12"/>
      <c r="B385" s="175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4.25" customHeight="1" x14ac:dyDescent="0.25">
      <c r="A386" s="12"/>
      <c r="B386" s="175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4.25" customHeight="1" x14ac:dyDescent="0.25">
      <c r="A387" s="12"/>
      <c r="B387" s="175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4.25" customHeight="1" x14ac:dyDescent="0.25">
      <c r="A388" s="12"/>
      <c r="B388" s="175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4.25" customHeight="1" x14ac:dyDescent="0.25">
      <c r="A389" s="12"/>
      <c r="B389" s="175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4.25" customHeight="1" x14ac:dyDescent="0.25">
      <c r="A390" s="12"/>
      <c r="B390" s="175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4.25" customHeight="1" x14ac:dyDescent="0.25">
      <c r="A391" s="12"/>
      <c r="B391" s="175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4.25" customHeight="1" x14ac:dyDescent="0.25">
      <c r="A392" s="12"/>
      <c r="B392" s="175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4.25" customHeight="1" x14ac:dyDescent="0.25">
      <c r="A393" s="12"/>
      <c r="B393" s="175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4.25" customHeight="1" x14ac:dyDescent="0.25">
      <c r="A394" s="12"/>
      <c r="B394" s="175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4.25" customHeight="1" x14ac:dyDescent="0.25">
      <c r="A395" s="12"/>
      <c r="B395" s="175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4.25" customHeight="1" x14ac:dyDescent="0.25">
      <c r="A396" s="12"/>
      <c r="B396" s="175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4.25" customHeight="1" x14ac:dyDescent="0.25">
      <c r="A397" s="12"/>
      <c r="B397" s="175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4.25" customHeight="1" x14ac:dyDescent="0.25">
      <c r="A398" s="12"/>
      <c r="B398" s="175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4.25" customHeight="1" x14ac:dyDescent="0.25">
      <c r="A399" s="12"/>
      <c r="B399" s="175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4.25" customHeight="1" x14ac:dyDescent="0.25">
      <c r="A400" s="12"/>
      <c r="B400" s="175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4.25" customHeight="1" x14ac:dyDescent="0.25">
      <c r="A401" s="12"/>
      <c r="B401" s="175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4.25" customHeight="1" x14ac:dyDescent="0.25">
      <c r="A402" s="12"/>
      <c r="B402" s="175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4.25" customHeight="1" x14ac:dyDescent="0.25">
      <c r="A403" s="12"/>
      <c r="B403" s="175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4.25" customHeight="1" x14ac:dyDescent="0.25">
      <c r="A404" s="12"/>
      <c r="B404" s="175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4.25" customHeight="1" x14ac:dyDescent="0.25">
      <c r="A405" s="12"/>
      <c r="B405" s="175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4.25" customHeight="1" x14ac:dyDescent="0.25">
      <c r="A406" s="12"/>
      <c r="B406" s="175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4.25" customHeight="1" x14ac:dyDescent="0.25">
      <c r="A407" s="12"/>
      <c r="B407" s="175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4.25" customHeight="1" x14ac:dyDescent="0.25">
      <c r="A408" s="12"/>
      <c r="B408" s="175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4.25" customHeight="1" x14ac:dyDescent="0.25">
      <c r="A409" s="12"/>
      <c r="B409" s="175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4.25" customHeight="1" x14ac:dyDescent="0.25">
      <c r="A410" s="12"/>
      <c r="B410" s="175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4.25" customHeight="1" x14ac:dyDescent="0.25">
      <c r="A411" s="12"/>
      <c r="B411" s="175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4.25" customHeight="1" x14ac:dyDescent="0.25">
      <c r="A412" s="12"/>
      <c r="B412" s="175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4.25" customHeight="1" x14ac:dyDescent="0.25">
      <c r="A413" s="12"/>
      <c r="B413" s="175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4.25" customHeight="1" x14ac:dyDescent="0.25">
      <c r="A414" s="12"/>
      <c r="B414" s="175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4.25" customHeight="1" x14ac:dyDescent="0.25">
      <c r="A415" s="12"/>
      <c r="B415" s="175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4.25" customHeight="1" x14ac:dyDescent="0.25">
      <c r="A416" s="12"/>
      <c r="B416" s="175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4.25" customHeight="1" x14ac:dyDescent="0.25">
      <c r="A417" s="12"/>
      <c r="B417" s="175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4.25" customHeight="1" x14ac:dyDescent="0.25">
      <c r="A418" s="12"/>
      <c r="B418" s="175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4.25" customHeight="1" x14ac:dyDescent="0.25">
      <c r="A419" s="12"/>
      <c r="B419" s="175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4.25" customHeight="1" x14ac:dyDescent="0.25">
      <c r="A420" s="12"/>
      <c r="B420" s="175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4.25" customHeight="1" x14ac:dyDescent="0.25">
      <c r="A421" s="12"/>
      <c r="B421" s="175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4.25" customHeight="1" x14ac:dyDescent="0.25">
      <c r="A422" s="12"/>
      <c r="B422" s="175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4.25" customHeight="1" x14ac:dyDescent="0.25">
      <c r="A423" s="12"/>
      <c r="B423" s="175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4.25" customHeight="1" x14ac:dyDescent="0.25">
      <c r="A424" s="12"/>
      <c r="B424" s="175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4.25" customHeight="1" x14ac:dyDescent="0.25">
      <c r="A425" s="12"/>
      <c r="B425" s="175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4.25" customHeight="1" x14ac:dyDescent="0.25">
      <c r="A426" s="12"/>
      <c r="B426" s="175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4.25" customHeight="1" x14ac:dyDescent="0.25">
      <c r="A427" s="12"/>
      <c r="B427" s="175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4.25" customHeight="1" x14ac:dyDescent="0.25">
      <c r="A428" s="12"/>
      <c r="B428" s="175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4.25" customHeight="1" x14ac:dyDescent="0.25">
      <c r="A429" s="12"/>
      <c r="B429" s="175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4.25" customHeight="1" x14ac:dyDescent="0.25">
      <c r="A430" s="12"/>
      <c r="B430" s="175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4.25" customHeight="1" x14ac:dyDescent="0.25">
      <c r="A431" s="12"/>
      <c r="B431" s="175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4.25" customHeight="1" x14ac:dyDescent="0.25">
      <c r="A432" s="12"/>
      <c r="B432" s="175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4.25" customHeight="1" x14ac:dyDescent="0.25">
      <c r="A433" s="12"/>
      <c r="B433" s="175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4.25" customHeight="1" x14ac:dyDescent="0.25">
      <c r="A434" s="12"/>
      <c r="B434" s="175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4.25" customHeight="1" x14ac:dyDescent="0.25">
      <c r="A435" s="12"/>
      <c r="B435" s="175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4.25" customHeight="1" x14ac:dyDescent="0.25">
      <c r="A436" s="12"/>
      <c r="B436" s="175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4.25" customHeight="1" x14ac:dyDescent="0.25">
      <c r="A437" s="12"/>
      <c r="B437" s="175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4.25" customHeight="1" x14ac:dyDescent="0.25">
      <c r="A438" s="12"/>
      <c r="B438" s="175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4.25" customHeight="1" x14ac:dyDescent="0.25">
      <c r="A439" s="12"/>
      <c r="B439" s="175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4.25" customHeight="1" x14ac:dyDescent="0.25">
      <c r="A440" s="12"/>
      <c r="B440" s="175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4.25" customHeight="1" x14ac:dyDescent="0.25">
      <c r="A441" s="12"/>
      <c r="B441" s="175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4.25" customHeight="1" x14ac:dyDescent="0.25">
      <c r="A442" s="12"/>
      <c r="B442" s="175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4.25" customHeight="1" x14ac:dyDescent="0.25">
      <c r="A443" s="12"/>
      <c r="B443" s="175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4.25" customHeight="1" x14ac:dyDescent="0.25">
      <c r="A444" s="12"/>
      <c r="B444" s="175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4.25" customHeight="1" x14ac:dyDescent="0.25">
      <c r="A445" s="12"/>
      <c r="B445" s="175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4.25" customHeight="1" x14ac:dyDescent="0.25">
      <c r="A446" s="12"/>
      <c r="B446" s="175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4.25" customHeight="1" x14ac:dyDescent="0.25">
      <c r="A447" s="12"/>
      <c r="B447" s="175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4.25" customHeight="1" x14ac:dyDescent="0.25">
      <c r="A448" s="12"/>
      <c r="B448" s="175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4.25" customHeight="1" x14ac:dyDescent="0.25">
      <c r="A449" s="12"/>
      <c r="B449" s="175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4.25" customHeight="1" x14ac:dyDescent="0.25">
      <c r="A450" s="12"/>
      <c r="B450" s="175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4.25" customHeight="1" x14ac:dyDescent="0.25">
      <c r="A451" s="12"/>
      <c r="B451" s="175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4.25" customHeight="1" x14ac:dyDescent="0.25">
      <c r="A452" s="12"/>
      <c r="B452" s="175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4.25" customHeight="1" x14ac:dyDescent="0.25">
      <c r="A453" s="12"/>
      <c r="B453" s="175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4.25" customHeight="1" x14ac:dyDescent="0.25">
      <c r="A454" s="12"/>
      <c r="B454" s="175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4.25" customHeight="1" x14ac:dyDescent="0.25">
      <c r="A455" s="12"/>
      <c r="B455" s="175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4.25" customHeight="1" x14ac:dyDescent="0.25">
      <c r="A456" s="12"/>
      <c r="B456" s="175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4.25" customHeight="1" x14ac:dyDescent="0.25">
      <c r="A457" s="12"/>
      <c r="B457" s="175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4.25" customHeight="1" x14ac:dyDescent="0.25">
      <c r="A458" s="12"/>
      <c r="B458" s="175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4.25" customHeight="1" x14ac:dyDescent="0.25">
      <c r="A459" s="12"/>
      <c r="B459" s="175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4.25" customHeight="1" x14ac:dyDescent="0.25">
      <c r="A460" s="12"/>
      <c r="B460" s="175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4.25" customHeight="1" x14ac:dyDescent="0.25">
      <c r="A461" s="12"/>
      <c r="B461" s="175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4.25" customHeight="1" x14ac:dyDescent="0.25">
      <c r="A462" s="12"/>
      <c r="B462" s="175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4.25" customHeight="1" x14ac:dyDescent="0.25">
      <c r="A463" s="12"/>
      <c r="B463" s="175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4.25" customHeight="1" x14ac:dyDescent="0.25">
      <c r="A464" s="12"/>
      <c r="B464" s="175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4.25" customHeight="1" x14ac:dyDescent="0.25">
      <c r="A465" s="12"/>
      <c r="B465" s="175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4.25" customHeight="1" x14ac:dyDescent="0.25">
      <c r="A466" s="12"/>
      <c r="B466" s="175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4.25" customHeight="1" x14ac:dyDescent="0.25">
      <c r="A467" s="12"/>
      <c r="B467" s="175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4.25" customHeight="1" x14ac:dyDescent="0.25">
      <c r="A468" s="12"/>
      <c r="B468" s="175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4.25" customHeight="1" x14ac:dyDescent="0.25">
      <c r="A469" s="12"/>
      <c r="B469" s="175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4.25" customHeight="1" x14ac:dyDescent="0.25">
      <c r="A470" s="12"/>
      <c r="B470" s="175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4.25" customHeight="1" x14ac:dyDescent="0.25">
      <c r="A471" s="12"/>
      <c r="B471" s="175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4.25" customHeight="1" x14ac:dyDescent="0.25">
      <c r="A472" s="12"/>
      <c r="B472" s="175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4.25" customHeight="1" x14ac:dyDescent="0.25">
      <c r="A473" s="12"/>
      <c r="B473" s="175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4.25" customHeight="1" x14ac:dyDescent="0.25">
      <c r="A474" s="12"/>
      <c r="B474" s="175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4.25" customHeight="1" x14ac:dyDescent="0.25">
      <c r="A475" s="12"/>
      <c r="B475" s="175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4.25" customHeight="1" x14ac:dyDescent="0.25">
      <c r="A476" s="12"/>
      <c r="B476" s="175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4.25" customHeight="1" x14ac:dyDescent="0.25">
      <c r="A477" s="12"/>
      <c r="B477" s="175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4.25" customHeight="1" x14ac:dyDescent="0.25">
      <c r="A478" s="12"/>
      <c r="B478" s="175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4.25" customHeight="1" x14ac:dyDescent="0.25">
      <c r="A479" s="12"/>
      <c r="B479" s="175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4.25" customHeight="1" x14ac:dyDescent="0.25">
      <c r="A480" s="12"/>
      <c r="B480" s="175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4.25" customHeight="1" x14ac:dyDescent="0.25">
      <c r="A481" s="12"/>
      <c r="B481" s="175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4.25" customHeight="1" x14ac:dyDescent="0.25">
      <c r="A482" s="12"/>
      <c r="B482" s="175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4.25" customHeight="1" x14ac:dyDescent="0.25">
      <c r="A483" s="12"/>
      <c r="B483" s="175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4.25" customHeight="1" x14ac:dyDescent="0.25">
      <c r="A484" s="12"/>
      <c r="B484" s="175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4.25" customHeight="1" x14ac:dyDescent="0.25">
      <c r="A485" s="12"/>
      <c r="B485" s="175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4.25" customHeight="1" x14ac:dyDescent="0.25">
      <c r="A486" s="12"/>
      <c r="B486" s="175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4.25" customHeight="1" x14ac:dyDescent="0.25">
      <c r="A487" s="12"/>
      <c r="B487" s="175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4.25" customHeight="1" x14ac:dyDescent="0.25">
      <c r="A488" s="12"/>
      <c r="B488" s="175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4.25" customHeight="1" x14ac:dyDescent="0.25">
      <c r="A489" s="12"/>
      <c r="B489" s="175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4.25" customHeight="1" x14ac:dyDescent="0.25">
      <c r="A490" s="12"/>
      <c r="B490" s="175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4.25" customHeight="1" x14ac:dyDescent="0.25">
      <c r="A491" s="12"/>
      <c r="B491" s="175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4.25" customHeight="1" x14ac:dyDescent="0.25">
      <c r="A492" s="12"/>
      <c r="B492" s="175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4.25" customHeight="1" x14ac:dyDescent="0.25">
      <c r="A493" s="12"/>
      <c r="B493" s="175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4.25" customHeight="1" x14ac:dyDescent="0.25">
      <c r="A494" s="12"/>
      <c r="B494" s="175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4.25" customHeight="1" x14ac:dyDescent="0.25">
      <c r="A495" s="12"/>
      <c r="B495" s="175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4.25" customHeight="1" x14ac:dyDescent="0.25">
      <c r="A496" s="12"/>
      <c r="B496" s="175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4.25" customHeight="1" x14ac:dyDescent="0.25">
      <c r="A497" s="12"/>
      <c r="B497" s="175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4.25" customHeight="1" x14ac:dyDescent="0.25">
      <c r="A498" s="12"/>
      <c r="B498" s="175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4.25" customHeight="1" x14ac:dyDescent="0.25">
      <c r="A499" s="12"/>
      <c r="B499" s="175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4.25" customHeight="1" x14ac:dyDescent="0.25">
      <c r="A500" s="12"/>
      <c r="B500" s="175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4.25" customHeight="1" x14ac:dyDescent="0.25">
      <c r="A501" s="12"/>
      <c r="B501" s="175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4.25" customHeight="1" x14ac:dyDescent="0.25">
      <c r="A502" s="12"/>
      <c r="B502" s="175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4.25" customHeight="1" x14ac:dyDescent="0.25">
      <c r="A503" s="12"/>
      <c r="B503" s="175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4.25" customHeight="1" x14ac:dyDescent="0.25">
      <c r="A504" s="12"/>
      <c r="B504" s="175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4.25" customHeight="1" x14ac:dyDescent="0.25">
      <c r="A505" s="12"/>
      <c r="B505" s="175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4.25" customHeight="1" x14ac:dyDescent="0.25">
      <c r="A506" s="12"/>
      <c r="B506" s="175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4.25" customHeight="1" x14ac:dyDescent="0.25">
      <c r="A507" s="12"/>
      <c r="B507" s="175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4.25" customHeight="1" x14ac:dyDescent="0.25">
      <c r="A508" s="12"/>
      <c r="B508" s="175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4.25" customHeight="1" x14ac:dyDescent="0.25">
      <c r="A509" s="12"/>
      <c r="B509" s="175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4.25" customHeight="1" x14ac:dyDescent="0.25">
      <c r="A510" s="12"/>
      <c r="B510" s="175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4.25" customHeight="1" x14ac:dyDescent="0.25">
      <c r="A511" s="12"/>
      <c r="B511" s="175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4.25" customHeight="1" x14ac:dyDescent="0.25">
      <c r="A512" s="12"/>
      <c r="B512" s="175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4.25" customHeight="1" x14ac:dyDescent="0.25">
      <c r="A513" s="12"/>
      <c r="B513" s="175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4.25" customHeight="1" x14ac:dyDescent="0.25">
      <c r="A514" s="12"/>
      <c r="B514" s="175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4.25" customHeight="1" x14ac:dyDescent="0.25">
      <c r="A515" s="12"/>
      <c r="B515" s="175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4.25" customHeight="1" x14ac:dyDescent="0.25">
      <c r="A516" s="12"/>
      <c r="B516" s="175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4.25" customHeight="1" x14ac:dyDescent="0.25">
      <c r="A517" s="12"/>
      <c r="B517" s="175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4.25" customHeight="1" x14ac:dyDescent="0.25">
      <c r="A518" s="12"/>
      <c r="B518" s="175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4.25" customHeight="1" x14ac:dyDescent="0.25">
      <c r="A519" s="12"/>
      <c r="B519" s="175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4.25" customHeight="1" x14ac:dyDescent="0.25">
      <c r="A520" s="12"/>
      <c r="B520" s="175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4.25" customHeight="1" x14ac:dyDescent="0.25">
      <c r="A521" s="12"/>
      <c r="B521" s="175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4.25" customHeight="1" x14ac:dyDescent="0.25">
      <c r="A522" s="12"/>
      <c r="B522" s="175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4.25" customHeight="1" x14ac:dyDescent="0.25">
      <c r="A523" s="12"/>
      <c r="B523" s="175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4.25" customHeight="1" x14ac:dyDescent="0.25">
      <c r="A524" s="12"/>
      <c r="B524" s="175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4.25" customHeight="1" x14ac:dyDescent="0.25">
      <c r="A525" s="12"/>
      <c r="B525" s="175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4.25" customHeight="1" x14ac:dyDescent="0.25">
      <c r="A526" s="12"/>
      <c r="B526" s="175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4.25" customHeight="1" x14ac:dyDescent="0.25">
      <c r="A527" s="12"/>
      <c r="B527" s="175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4.25" customHeight="1" x14ac:dyDescent="0.25">
      <c r="A528" s="12"/>
      <c r="B528" s="175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4.25" customHeight="1" x14ac:dyDescent="0.25">
      <c r="A529" s="12"/>
      <c r="B529" s="175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4.25" customHeight="1" x14ac:dyDescent="0.25">
      <c r="A530" s="12"/>
      <c r="B530" s="175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4.25" customHeight="1" x14ac:dyDescent="0.25">
      <c r="A531" s="12"/>
      <c r="B531" s="175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4.25" customHeight="1" x14ac:dyDescent="0.25">
      <c r="A532" s="12"/>
      <c r="B532" s="175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4.25" customHeight="1" x14ac:dyDescent="0.25">
      <c r="A533" s="12"/>
      <c r="B533" s="175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4.25" customHeight="1" x14ac:dyDescent="0.25">
      <c r="A534" s="12"/>
      <c r="B534" s="175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4.25" customHeight="1" x14ac:dyDescent="0.25">
      <c r="A535" s="12"/>
      <c r="B535" s="175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4.25" customHeight="1" x14ac:dyDescent="0.25">
      <c r="A536" s="12"/>
      <c r="B536" s="175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4.25" customHeight="1" x14ac:dyDescent="0.25">
      <c r="A537" s="12"/>
      <c r="B537" s="175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4.25" customHeight="1" x14ac:dyDescent="0.25">
      <c r="A538" s="12"/>
      <c r="B538" s="175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4.25" customHeight="1" x14ac:dyDescent="0.25">
      <c r="A539" s="12"/>
      <c r="B539" s="175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4.25" customHeight="1" x14ac:dyDescent="0.25">
      <c r="A540" s="12"/>
      <c r="B540" s="175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4.25" customHeight="1" x14ac:dyDescent="0.25">
      <c r="A541" s="12"/>
      <c r="B541" s="175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4.25" customHeight="1" x14ac:dyDescent="0.25">
      <c r="A542" s="12"/>
      <c r="B542" s="175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4.25" customHeight="1" x14ac:dyDescent="0.25">
      <c r="A543" s="12"/>
      <c r="B543" s="175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4.25" customHeight="1" x14ac:dyDescent="0.25">
      <c r="A544" s="12"/>
      <c r="B544" s="175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4.25" customHeight="1" x14ac:dyDescent="0.25">
      <c r="A545" s="12"/>
      <c r="B545" s="175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4.25" customHeight="1" x14ac:dyDescent="0.25">
      <c r="A546" s="12"/>
      <c r="B546" s="175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4.25" customHeight="1" x14ac:dyDescent="0.25">
      <c r="A547" s="12"/>
      <c r="B547" s="175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4.25" customHeight="1" x14ac:dyDescent="0.25">
      <c r="A548" s="12"/>
      <c r="B548" s="175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4.25" customHeight="1" x14ac:dyDescent="0.25">
      <c r="A549" s="12"/>
      <c r="B549" s="175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4.25" customHeight="1" x14ac:dyDescent="0.25">
      <c r="A550" s="12"/>
      <c r="B550" s="175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4.25" customHeight="1" x14ac:dyDescent="0.25">
      <c r="A551" s="12"/>
      <c r="B551" s="175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4.25" customHeight="1" x14ac:dyDescent="0.25">
      <c r="A552" s="12"/>
      <c r="B552" s="175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4.25" customHeight="1" x14ac:dyDescent="0.25">
      <c r="A553" s="12"/>
      <c r="B553" s="175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4.25" customHeight="1" x14ac:dyDescent="0.25">
      <c r="A554" s="12"/>
      <c r="B554" s="175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4.25" customHeight="1" x14ac:dyDescent="0.25">
      <c r="A555" s="12"/>
      <c r="B555" s="175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4.25" customHeight="1" x14ac:dyDescent="0.25">
      <c r="A556" s="12"/>
      <c r="B556" s="175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4.25" customHeight="1" x14ac:dyDescent="0.25">
      <c r="A557" s="12"/>
      <c r="B557" s="175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4.25" customHeight="1" x14ac:dyDescent="0.25">
      <c r="A558" s="12"/>
      <c r="B558" s="175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4.25" customHeight="1" x14ac:dyDescent="0.25">
      <c r="A559" s="12"/>
      <c r="B559" s="175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4.25" customHeight="1" x14ac:dyDescent="0.25">
      <c r="A560" s="12"/>
      <c r="B560" s="175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4.25" customHeight="1" x14ac:dyDescent="0.25">
      <c r="A561" s="12"/>
      <c r="B561" s="175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4.25" customHeight="1" x14ac:dyDescent="0.25">
      <c r="A562" s="12"/>
      <c r="B562" s="175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4.25" customHeight="1" x14ac:dyDescent="0.25">
      <c r="A563" s="12"/>
      <c r="B563" s="175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4.25" customHeight="1" x14ac:dyDescent="0.25">
      <c r="A564" s="12"/>
      <c r="B564" s="175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4.25" customHeight="1" x14ac:dyDescent="0.25">
      <c r="A565" s="12"/>
      <c r="B565" s="175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4.25" customHeight="1" x14ac:dyDescent="0.25">
      <c r="A566" s="12"/>
      <c r="B566" s="175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4.25" customHeight="1" x14ac:dyDescent="0.25">
      <c r="A567" s="12"/>
      <c r="B567" s="175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4.25" customHeight="1" x14ac:dyDescent="0.25">
      <c r="A568" s="12"/>
      <c r="B568" s="175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4.25" customHeight="1" x14ac:dyDescent="0.25">
      <c r="A569" s="12"/>
      <c r="B569" s="175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4.25" customHeight="1" x14ac:dyDescent="0.25">
      <c r="A570" s="12"/>
      <c r="B570" s="175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4.25" customHeight="1" x14ac:dyDescent="0.25">
      <c r="A571" s="12"/>
      <c r="B571" s="175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4.25" customHeight="1" x14ac:dyDescent="0.25">
      <c r="A572" s="12"/>
      <c r="B572" s="175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4.25" customHeight="1" x14ac:dyDescent="0.25">
      <c r="A573" s="12"/>
      <c r="B573" s="175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4.25" customHeight="1" x14ac:dyDescent="0.25">
      <c r="A574" s="12"/>
      <c r="B574" s="175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4.25" customHeight="1" x14ac:dyDescent="0.25">
      <c r="A575" s="12"/>
      <c r="B575" s="175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4.25" customHeight="1" x14ac:dyDescent="0.25">
      <c r="A576" s="12"/>
      <c r="B576" s="175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4.25" customHeight="1" x14ac:dyDescent="0.25">
      <c r="A577" s="12"/>
      <c r="B577" s="175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4.25" customHeight="1" x14ac:dyDescent="0.25">
      <c r="A578" s="12"/>
      <c r="B578" s="175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4.25" customHeight="1" x14ac:dyDescent="0.25">
      <c r="A579" s="12"/>
      <c r="B579" s="175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4.25" customHeight="1" x14ac:dyDescent="0.25">
      <c r="A580" s="12"/>
      <c r="B580" s="175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4.25" customHeight="1" x14ac:dyDescent="0.25">
      <c r="A581" s="12"/>
      <c r="B581" s="175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4.25" customHeight="1" x14ac:dyDescent="0.25">
      <c r="A582" s="12"/>
      <c r="B582" s="175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4.25" customHeight="1" x14ac:dyDescent="0.25">
      <c r="A583" s="12"/>
      <c r="B583" s="175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4.25" customHeight="1" x14ac:dyDescent="0.25">
      <c r="A584" s="12"/>
      <c r="B584" s="175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4.25" customHeight="1" x14ac:dyDescent="0.25">
      <c r="A585" s="12"/>
      <c r="B585" s="175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4.25" customHeight="1" x14ac:dyDescent="0.25">
      <c r="A586" s="12"/>
      <c r="B586" s="175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4.25" customHeight="1" x14ac:dyDescent="0.25">
      <c r="A587" s="12"/>
      <c r="B587" s="175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4.25" customHeight="1" x14ac:dyDescent="0.25">
      <c r="A588" s="12"/>
      <c r="B588" s="175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4.25" customHeight="1" x14ac:dyDescent="0.25">
      <c r="A589" s="12"/>
      <c r="B589" s="175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4.25" customHeight="1" x14ac:dyDescent="0.25">
      <c r="A590" s="12"/>
      <c r="B590" s="175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4.25" customHeight="1" x14ac:dyDescent="0.25">
      <c r="A591" s="12"/>
      <c r="B591" s="175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4.25" customHeight="1" x14ac:dyDescent="0.25">
      <c r="A592" s="12"/>
      <c r="B592" s="175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4.25" customHeight="1" x14ac:dyDescent="0.25">
      <c r="A593" s="12"/>
      <c r="B593" s="175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4.25" customHeight="1" x14ac:dyDescent="0.25">
      <c r="A594" s="12"/>
      <c r="B594" s="175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4.25" customHeight="1" x14ac:dyDescent="0.25">
      <c r="A595" s="12"/>
      <c r="B595" s="175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4.25" customHeight="1" x14ac:dyDescent="0.25">
      <c r="A596" s="12"/>
      <c r="B596" s="175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4.25" customHeight="1" x14ac:dyDescent="0.25">
      <c r="A597" s="12"/>
      <c r="B597" s="175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4.25" customHeight="1" x14ac:dyDescent="0.25">
      <c r="A598" s="12"/>
      <c r="B598" s="175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4.25" customHeight="1" x14ac:dyDescent="0.25">
      <c r="A599" s="12"/>
      <c r="B599" s="175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4.25" customHeight="1" x14ac:dyDescent="0.25">
      <c r="A600" s="12"/>
      <c r="B600" s="175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4.25" customHeight="1" x14ac:dyDescent="0.25">
      <c r="A601" s="12"/>
      <c r="B601" s="175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4.25" customHeight="1" x14ac:dyDescent="0.25">
      <c r="A602" s="12"/>
      <c r="B602" s="175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4.25" customHeight="1" x14ac:dyDescent="0.25">
      <c r="A603" s="12"/>
      <c r="B603" s="175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4.25" customHeight="1" x14ac:dyDescent="0.25">
      <c r="A604" s="12"/>
      <c r="B604" s="175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4.25" customHeight="1" x14ac:dyDescent="0.25">
      <c r="A605" s="12"/>
      <c r="B605" s="175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4.25" customHeight="1" x14ac:dyDescent="0.25">
      <c r="A606" s="12"/>
      <c r="B606" s="175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4.25" customHeight="1" x14ac:dyDescent="0.25">
      <c r="A607" s="12"/>
      <c r="B607" s="175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4.25" customHeight="1" x14ac:dyDescent="0.25">
      <c r="A608" s="12"/>
      <c r="B608" s="175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4.25" customHeight="1" x14ac:dyDescent="0.25">
      <c r="A609" s="12"/>
      <c r="B609" s="175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4.25" customHeight="1" x14ac:dyDescent="0.25">
      <c r="A610" s="12"/>
      <c r="B610" s="175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4.25" customHeight="1" x14ac:dyDescent="0.25">
      <c r="A611" s="12"/>
      <c r="B611" s="175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4.25" customHeight="1" x14ac:dyDescent="0.25">
      <c r="A612" s="12"/>
      <c r="B612" s="175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4.25" customHeight="1" x14ac:dyDescent="0.25">
      <c r="A613" s="12"/>
      <c r="B613" s="175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4.25" customHeight="1" x14ac:dyDescent="0.25">
      <c r="A614" s="12"/>
      <c r="B614" s="175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4.25" customHeight="1" x14ac:dyDescent="0.25">
      <c r="A615" s="12"/>
      <c r="B615" s="175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4.25" customHeight="1" x14ac:dyDescent="0.25">
      <c r="A616" s="12"/>
      <c r="B616" s="175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4.25" customHeight="1" x14ac:dyDescent="0.25">
      <c r="A617" s="12"/>
      <c r="B617" s="175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4.25" customHeight="1" x14ac:dyDescent="0.25">
      <c r="A618" s="12"/>
      <c r="B618" s="175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4.25" customHeight="1" x14ac:dyDescent="0.25">
      <c r="A619" s="12"/>
      <c r="B619" s="175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4.25" customHeight="1" x14ac:dyDescent="0.25">
      <c r="A620" s="12"/>
      <c r="B620" s="175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4.25" customHeight="1" x14ac:dyDescent="0.25">
      <c r="A621" s="12"/>
      <c r="B621" s="175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4.25" customHeight="1" x14ac:dyDescent="0.25">
      <c r="A622" s="12"/>
      <c r="B622" s="175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4.25" customHeight="1" x14ac:dyDescent="0.25">
      <c r="A623" s="12"/>
      <c r="B623" s="175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4.25" customHeight="1" x14ac:dyDescent="0.25">
      <c r="A624" s="12"/>
      <c r="B624" s="175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4.25" customHeight="1" x14ac:dyDescent="0.25">
      <c r="A625" s="12"/>
      <c r="B625" s="175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4.25" customHeight="1" x14ac:dyDescent="0.25">
      <c r="A626" s="12"/>
      <c r="B626" s="175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4.25" customHeight="1" x14ac:dyDescent="0.25">
      <c r="A627" s="12"/>
      <c r="B627" s="175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4.25" customHeight="1" x14ac:dyDescent="0.25">
      <c r="A628" s="12"/>
      <c r="B628" s="175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4.25" customHeight="1" x14ac:dyDescent="0.25">
      <c r="A629" s="12"/>
      <c r="B629" s="175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4.25" customHeight="1" x14ac:dyDescent="0.25">
      <c r="A630" s="12"/>
      <c r="B630" s="175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4.25" customHeight="1" x14ac:dyDescent="0.25">
      <c r="A631" s="12"/>
      <c r="B631" s="175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4.25" customHeight="1" x14ac:dyDescent="0.25">
      <c r="A632" s="12"/>
      <c r="B632" s="175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4.25" customHeight="1" x14ac:dyDescent="0.25">
      <c r="A633" s="12"/>
      <c r="B633" s="175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4.25" customHeight="1" x14ac:dyDescent="0.25">
      <c r="A634" s="12"/>
      <c r="B634" s="175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4.25" customHeight="1" x14ac:dyDescent="0.25">
      <c r="A635" s="12"/>
      <c r="B635" s="175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4.25" customHeight="1" x14ac:dyDescent="0.25">
      <c r="A636" s="12"/>
      <c r="B636" s="175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4.25" customHeight="1" x14ac:dyDescent="0.25">
      <c r="A637" s="12"/>
      <c r="B637" s="175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4.25" customHeight="1" x14ac:dyDescent="0.25">
      <c r="A638" s="12"/>
      <c r="B638" s="175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4.25" customHeight="1" x14ac:dyDescent="0.25">
      <c r="A639" s="12"/>
      <c r="B639" s="175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4.25" customHeight="1" x14ac:dyDescent="0.25">
      <c r="A640" s="12"/>
      <c r="B640" s="175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4.25" customHeight="1" x14ac:dyDescent="0.25">
      <c r="A641" s="12"/>
      <c r="B641" s="175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4.25" customHeight="1" x14ac:dyDescent="0.25">
      <c r="A642" s="12"/>
      <c r="B642" s="175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4.25" customHeight="1" x14ac:dyDescent="0.25">
      <c r="A643" s="12"/>
      <c r="B643" s="175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4.25" customHeight="1" x14ac:dyDescent="0.25">
      <c r="A644" s="12"/>
      <c r="B644" s="175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4.25" customHeight="1" x14ac:dyDescent="0.25">
      <c r="A645" s="12"/>
      <c r="B645" s="175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4.25" customHeight="1" x14ac:dyDescent="0.25">
      <c r="A646" s="12"/>
      <c r="B646" s="175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4.25" customHeight="1" x14ac:dyDescent="0.25">
      <c r="A647" s="12"/>
      <c r="B647" s="175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4.25" customHeight="1" x14ac:dyDescent="0.25">
      <c r="A648" s="12"/>
      <c r="B648" s="175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4.25" customHeight="1" x14ac:dyDescent="0.25">
      <c r="A649" s="12"/>
      <c r="B649" s="175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4.25" customHeight="1" x14ac:dyDescent="0.25">
      <c r="A650" s="12"/>
      <c r="B650" s="175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4.25" customHeight="1" x14ac:dyDescent="0.25">
      <c r="A651" s="12"/>
      <c r="B651" s="175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4.25" customHeight="1" x14ac:dyDescent="0.25">
      <c r="A652" s="12"/>
      <c r="B652" s="175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4.25" customHeight="1" x14ac:dyDescent="0.25">
      <c r="A653" s="12"/>
      <c r="B653" s="175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4.25" customHeight="1" x14ac:dyDescent="0.25">
      <c r="A654" s="12"/>
      <c r="B654" s="175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4.25" customHeight="1" x14ac:dyDescent="0.25">
      <c r="A655" s="12"/>
      <c r="B655" s="175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4.25" customHeight="1" x14ac:dyDescent="0.25">
      <c r="A656" s="12"/>
      <c r="B656" s="175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4.25" customHeight="1" x14ac:dyDescent="0.25">
      <c r="A657" s="12"/>
      <c r="B657" s="175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4.25" customHeight="1" x14ac:dyDescent="0.25">
      <c r="A658" s="12"/>
      <c r="B658" s="175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4.25" customHeight="1" x14ac:dyDescent="0.25">
      <c r="A659" s="12"/>
      <c r="B659" s="175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4.25" customHeight="1" x14ac:dyDescent="0.25">
      <c r="A660" s="12"/>
      <c r="B660" s="175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4.25" customHeight="1" x14ac:dyDescent="0.25">
      <c r="A661" s="12"/>
      <c r="B661" s="175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4.25" customHeight="1" x14ac:dyDescent="0.25">
      <c r="A662" s="12"/>
      <c r="B662" s="175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4.25" customHeight="1" x14ac:dyDescent="0.25">
      <c r="A663" s="12"/>
      <c r="B663" s="175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4.25" customHeight="1" x14ac:dyDescent="0.25">
      <c r="A664" s="12"/>
      <c r="B664" s="175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4.25" customHeight="1" x14ac:dyDescent="0.25">
      <c r="A665" s="12"/>
      <c r="B665" s="175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4.25" customHeight="1" x14ac:dyDescent="0.25">
      <c r="A666" s="12"/>
      <c r="B666" s="175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4.25" customHeight="1" x14ac:dyDescent="0.25">
      <c r="A667" s="12"/>
      <c r="B667" s="175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4.25" customHeight="1" x14ac:dyDescent="0.25">
      <c r="A668" s="12"/>
      <c r="B668" s="175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4.25" customHeight="1" x14ac:dyDescent="0.25">
      <c r="A669" s="12"/>
      <c r="B669" s="175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4.25" customHeight="1" x14ac:dyDescent="0.25">
      <c r="A670" s="12"/>
      <c r="B670" s="175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4.25" customHeight="1" x14ac:dyDescent="0.25">
      <c r="A671" s="12"/>
      <c r="B671" s="175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4.25" customHeight="1" x14ac:dyDescent="0.25">
      <c r="A672" s="12"/>
      <c r="B672" s="175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4.25" customHeight="1" x14ac:dyDescent="0.25">
      <c r="A673" s="12"/>
      <c r="B673" s="175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4.25" customHeight="1" x14ac:dyDescent="0.25">
      <c r="A674" s="12"/>
      <c r="B674" s="175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4.25" customHeight="1" x14ac:dyDescent="0.25">
      <c r="A675" s="12"/>
      <c r="B675" s="175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4.25" customHeight="1" x14ac:dyDescent="0.25">
      <c r="A676" s="12"/>
      <c r="B676" s="175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4.25" customHeight="1" x14ac:dyDescent="0.25">
      <c r="A677" s="12"/>
      <c r="B677" s="175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4.25" customHeight="1" x14ac:dyDescent="0.25">
      <c r="A678" s="12"/>
      <c r="B678" s="175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4.25" customHeight="1" x14ac:dyDescent="0.25">
      <c r="A679" s="12"/>
      <c r="B679" s="175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4.25" customHeight="1" x14ac:dyDescent="0.25">
      <c r="A680" s="12"/>
      <c r="B680" s="175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4.25" customHeight="1" x14ac:dyDescent="0.25">
      <c r="A681" s="12"/>
      <c r="B681" s="175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4.25" customHeight="1" x14ac:dyDescent="0.25">
      <c r="A682" s="12"/>
      <c r="B682" s="175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4.25" customHeight="1" x14ac:dyDescent="0.25">
      <c r="A683" s="12"/>
      <c r="B683" s="175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4.25" customHeight="1" x14ac:dyDescent="0.25">
      <c r="A684" s="12"/>
      <c r="B684" s="175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4.25" customHeight="1" x14ac:dyDescent="0.25">
      <c r="A685" s="12"/>
      <c r="B685" s="175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4.25" customHeight="1" x14ac:dyDescent="0.25">
      <c r="A686" s="12"/>
      <c r="B686" s="175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4.25" customHeight="1" x14ac:dyDescent="0.25">
      <c r="A687" s="12"/>
      <c r="B687" s="175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4.25" customHeight="1" x14ac:dyDescent="0.25">
      <c r="A688" s="12"/>
      <c r="B688" s="175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4.25" customHeight="1" x14ac:dyDescent="0.25">
      <c r="A689" s="12"/>
      <c r="B689" s="175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4.25" customHeight="1" x14ac:dyDescent="0.25">
      <c r="A690" s="12"/>
      <c r="B690" s="175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4.25" customHeight="1" x14ac:dyDescent="0.25">
      <c r="A691" s="12"/>
      <c r="B691" s="175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4.25" customHeight="1" x14ac:dyDescent="0.25">
      <c r="A692" s="12"/>
      <c r="B692" s="175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4.25" customHeight="1" x14ac:dyDescent="0.25">
      <c r="A693" s="12"/>
      <c r="B693" s="175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4.25" customHeight="1" x14ac:dyDescent="0.25">
      <c r="A694" s="12"/>
      <c r="B694" s="175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4.25" customHeight="1" x14ac:dyDescent="0.25">
      <c r="A695" s="12"/>
      <c r="B695" s="175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4.25" customHeight="1" x14ac:dyDescent="0.25">
      <c r="A696" s="12"/>
      <c r="B696" s="175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4.25" customHeight="1" x14ac:dyDescent="0.25">
      <c r="A697" s="12"/>
      <c r="B697" s="175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4.25" customHeight="1" x14ac:dyDescent="0.25">
      <c r="A698" s="12"/>
      <c r="B698" s="175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4.25" customHeight="1" x14ac:dyDescent="0.25">
      <c r="A699" s="12"/>
      <c r="B699" s="175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4.25" customHeight="1" x14ac:dyDescent="0.25">
      <c r="A700" s="12"/>
      <c r="B700" s="175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4.25" customHeight="1" x14ac:dyDescent="0.25">
      <c r="A701" s="12"/>
      <c r="B701" s="175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4.25" customHeight="1" x14ac:dyDescent="0.25">
      <c r="A702" s="12"/>
      <c r="B702" s="175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4.25" customHeight="1" x14ac:dyDescent="0.25">
      <c r="A703" s="12"/>
      <c r="B703" s="175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4.25" customHeight="1" x14ac:dyDescent="0.25">
      <c r="A704" s="12"/>
      <c r="B704" s="175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4.25" customHeight="1" x14ac:dyDescent="0.25">
      <c r="A705" s="12"/>
      <c r="B705" s="175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4.25" customHeight="1" x14ac:dyDescent="0.25">
      <c r="A706" s="12"/>
      <c r="B706" s="175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4.25" customHeight="1" x14ac:dyDescent="0.25">
      <c r="A707" s="12"/>
      <c r="B707" s="175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4.25" customHeight="1" x14ac:dyDescent="0.25">
      <c r="A708" s="12"/>
      <c r="B708" s="175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4.25" customHeight="1" x14ac:dyDescent="0.25">
      <c r="A709" s="12"/>
      <c r="B709" s="175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4.25" customHeight="1" x14ac:dyDescent="0.25">
      <c r="A710" s="12"/>
      <c r="B710" s="175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4.25" customHeight="1" x14ac:dyDescent="0.25">
      <c r="A711" s="12"/>
      <c r="B711" s="175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4.25" customHeight="1" x14ac:dyDescent="0.25">
      <c r="A712" s="12"/>
      <c r="B712" s="175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4.25" customHeight="1" x14ac:dyDescent="0.25">
      <c r="A713" s="12"/>
      <c r="B713" s="175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4.25" customHeight="1" x14ac:dyDescent="0.25">
      <c r="A714" s="12"/>
      <c r="B714" s="175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4.25" customHeight="1" x14ac:dyDescent="0.25">
      <c r="A715" s="12"/>
      <c r="B715" s="175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4.25" customHeight="1" x14ac:dyDescent="0.25">
      <c r="A716" s="12"/>
      <c r="B716" s="175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4.25" customHeight="1" x14ac:dyDescent="0.25">
      <c r="A717" s="12"/>
      <c r="B717" s="175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4.25" customHeight="1" x14ac:dyDescent="0.25">
      <c r="A718" s="12"/>
      <c r="B718" s="175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4.25" customHeight="1" x14ac:dyDescent="0.25">
      <c r="A719" s="12"/>
      <c r="B719" s="175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4.25" customHeight="1" x14ac:dyDescent="0.25">
      <c r="A720" s="12"/>
      <c r="B720" s="175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4.25" customHeight="1" x14ac:dyDescent="0.25">
      <c r="A721" s="12"/>
      <c r="B721" s="175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4.25" customHeight="1" x14ac:dyDescent="0.25">
      <c r="A722" s="12"/>
      <c r="B722" s="175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4.25" customHeight="1" x14ac:dyDescent="0.25">
      <c r="A723" s="12"/>
      <c r="B723" s="175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4.25" customHeight="1" x14ac:dyDescent="0.25">
      <c r="A724" s="12"/>
      <c r="B724" s="175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4.25" customHeight="1" x14ac:dyDescent="0.25">
      <c r="A725" s="12"/>
      <c r="B725" s="175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4.25" customHeight="1" x14ac:dyDescent="0.25">
      <c r="A726" s="12"/>
      <c r="B726" s="175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4.25" customHeight="1" x14ac:dyDescent="0.25">
      <c r="A727" s="12"/>
      <c r="B727" s="175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4.25" customHeight="1" x14ac:dyDescent="0.25">
      <c r="A728" s="12"/>
      <c r="B728" s="175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4.25" customHeight="1" x14ac:dyDescent="0.25">
      <c r="A729" s="12"/>
      <c r="B729" s="175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4.25" customHeight="1" x14ac:dyDescent="0.25">
      <c r="A730" s="12"/>
      <c r="B730" s="175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4.25" customHeight="1" x14ac:dyDescent="0.25">
      <c r="A731" s="12"/>
      <c r="B731" s="175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4.25" customHeight="1" x14ac:dyDescent="0.25">
      <c r="A732" s="12"/>
      <c r="B732" s="175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4.25" customHeight="1" x14ac:dyDescent="0.25">
      <c r="A733" s="12"/>
      <c r="B733" s="175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4.25" customHeight="1" x14ac:dyDescent="0.25">
      <c r="A734" s="12"/>
      <c r="B734" s="175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4.25" customHeight="1" x14ac:dyDescent="0.25">
      <c r="A735" s="12"/>
      <c r="B735" s="175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4.25" customHeight="1" x14ac:dyDescent="0.25">
      <c r="A736" s="12"/>
      <c r="B736" s="175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4.25" customHeight="1" x14ac:dyDescent="0.25">
      <c r="A737" s="12"/>
      <c r="B737" s="175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4.25" customHeight="1" x14ac:dyDescent="0.25">
      <c r="A738" s="12"/>
      <c r="B738" s="175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4.25" customHeight="1" x14ac:dyDescent="0.25">
      <c r="A739" s="12"/>
      <c r="B739" s="175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4.25" customHeight="1" x14ac:dyDescent="0.25">
      <c r="A740" s="12"/>
      <c r="B740" s="175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4.25" customHeight="1" x14ac:dyDescent="0.25">
      <c r="A741" s="12"/>
      <c r="B741" s="175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4.25" customHeight="1" x14ac:dyDescent="0.25">
      <c r="A742" s="12"/>
      <c r="B742" s="175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4.25" customHeight="1" x14ac:dyDescent="0.25">
      <c r="A743" s="12"/>
      <c r="B743" s="175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4.25" customHeight="1" x14ac:dyDescent="0.25">
      <c r="A744" s="12"/>
      <c r="B744" s="175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4.25" customHeight="1" x14ac:dyDescent="0.25">
      <c r="A745" s="12"/>
      <c r="B745" s="175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4.25" customHeight="1" x14ac:dyDescent="0.25">
      <c r="A746" s="12"/>
      <c r="B746" s="175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4.25" customHeight="1" x14ac:dyDescent="0.25">
      <c r="A747" s="12"/>
      <c r="B747" s="175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4.25" customHeight="1" x14ac:dyDescent="0.25">
      <c r="A748" s="12"/>
      <c r="B748" s="175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4.25" customHeight="1" x14ac:dyDescent="0.25">
      <c r="A749" s="12"/>
      <c r="B749" s="175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4.25" customHeight="1" x14ac:dyDescent="0.25">
      <c r="A750" s="12"/>
      <c r="B750" s="175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4.25" customHeight="1" x14ac:dyDescent="0.25">
      <c r="A751" s="12"/>
      <c r="B751" s="175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4.25" customHeight="1" x14ac:dyDescent="0.25">
      <c r="A752" s="12"/>
      <c r="B752" s="175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4.25" customHeight="1" x14ac:dyDescent="0.25">
      <c r="A753" s="12"/>
      <c r="B753" s="175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4.25" customHeight="1" x14ac:dyDescent="0.25">
      <c r="A754" s="12"/>
      <c r="B754" s="175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4.25" customHeight="1" x14ac:dyDescent="0.25">
      <c r="A755" s="12"/>
      <c r="B755" s="175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4.25" customHeight="1" x14ac:dyDescent="0.25">
      <c r="A756" s="12"/>
      <c r="B756" s="175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4.25" customHeight="1" x14ac:dyDescent="0.25">
      <c r="A757" s="12"/>
      <c r="B757" s="175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4.25" customHeight="1" x14ac:dyDescent="0.25">
      <c r="A758" s="12"/>
      <c r="B758" s="175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4.25" customHeight="1" x14ac:dyDescent="0.25">
      <c r="A759" s="12"/>
      <c r="B759" s="175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4.25" customHeight="1" x14ac:dyDescent="0.25">
      <c r="A760" s="12"/>
      <c r="B760" s="175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4.25" customHeight="1" x14ac:dyDescent="0.25">
      <c r="A761" s="12"/>
      <c r="B761" s="175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4.25" customHeight="1" x14ac:dyDescent="0.25">
      <c r="A762" s="12"/>
      <c r="B762" s="175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4.25" customHeight="1" x14ac:dyDescent="0.25">
      <c r="A763" s="12"/>
      <c r="B763" s="175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4.25" customHeight="1" x14ac:dyDescent="0.25">
      <c r="A764" s="12"/>
      <c r="B764" s="175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4.25" customHeight="1" x14ac:dyDescent="0.25">
      <c r="A765" s="12"/>
      <c r="B765" s="175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4.25" customHeight="1" x14ac:dyDescent="0.25">
      <c r="A766" s="12"/>
      <c r="B766" s="175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4.25" customHeight="1" x14ac:dyDescent="0.25">
      <c r="A767" s="12"/>
      <c r="B767" s="175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4.25" customHeight="1" x14ac:dyDescent="0.25">
      <c r="A768" s="12"/>
      <c r="B768" s="175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4.25" customHeight="1" x14ac:dyDescent="0.25">
      <c r="A769" s="12"/>
      <c r="B769" s="175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4.25" customHeight="1" x14ac:dyDescent="0.25">
      <c r="A770" s="12"/>
      <c r="B770" s="175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4.25" customHeight="1" x14ac:dyDescent="0.25">
      <c r="A771" s="12"/>
      <c r="B771" s="175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4.25" customHeight="1" x14ac:dyDescent="0.25">
      <c r="A772" s="12"/>
      <c r="B772" s="175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4.25" customHeight="1" x14ac:dyDescent="0.25">
      <c r="A773" s="12"/>
      <c r="B773" s="175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4.25" customHeight="1" x14ac:dyDescent="0.25">
      <c r="A774" s="12"/>
      <c r="B774" s="175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4.25" customHeight="1" x14ac:dyDescent="0.25">
      <c r="A775" s="12"/>
      <c r="B775" s="175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4.25" customHeight="1" x14ac:dyDescent="0.25">
      <c r="A776" s="12"/>
      <c r="B776" s="175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4.25" customHeight="1" x14ac:dyDescent="0.25">
      <c r="A777" s="12"/>
      <c r="B777" s="175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4.25" customHeight="1" x14ac:dyDescent="0.25">
      <c r="A778" s="12"/>
      <c r="B778" s="175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4.25" customHeight="1" x14ac:dyDescent="0.25">
      <c r="A779" s="12"/>
      <c r="B779" s="175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4.25" customHeight="1" x14ac:dyDescent="0.25">
      <c r="A780" s="12"/>
      <c r="B780" s="175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4.25" customHeight="1" x14ac:dyDescent="0.25">
      <c r="A781" s="12"/>
      <c r="B781" s="175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4.25" customHeight="1" x14ac:dyDescent="0.25">
      <c r="A782" s="12"/>
      <c r="B782" s="175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4.25" customHeight="1" x14ac:dyDescent="0.25">
      <c r="A783" s="12"/>
      <c r="B783" s="175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4.25" customHeight="1" x14ac:dyDescent="0.25">
      <c r="A784" s="12"/>
      <c r="B784" s="175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4.25" customHeight="1" x14ac:dyDescent="0.25">
      <c r="A785" s="12"/>
      <c r="B785" s="175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4.25" customHeight="1" x14ac:dyDescent="0.25">
      <c r="A786" s="12"/>
      <c r="B786" s="175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4.25" customHeight="1" x14ac:dyDescent="0.25">
      <c r="A787" s="12"/>
      <c r="B787" s="175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4.25" customHeight="1" x14ac:dyDescent="0.25">
      <c r="A788" s="12"/>
      <c r="B788" s="175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4.25" customHeight="1" x14ac:dyDescent="0.25">
      <c r="A789" s="12"/>
      <c r="B789" s="175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4.25" customHeight="1" x14ac:dyDescent="0.25">
      <c r="A790" s="12"/>
      <c r="B790" s="175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4.25" customHeight="1" x14ac:dyDescent="0.25">
      <c r="A791" s="12"/>
      <c r="B791" s="175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4.25" customHeight="1" x14ac:dyDescent="0.25">
      <c r="A792" s="12"/>
      <c r="B792" s="175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4.25" customHeight="1" x14ac:dyDescent="0.25">
      <c r="A793" s="12"/>
      <c r="B793" s="175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4.25" customHeight="1" x14ac:dyDescent="0.25">
      <c r="A794" s="12"/>
      <c r="B794" s="175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4.25" customHeight="1" x14ac:dyDescent="0.25">
      <c r="A795" s="12"/>
      <c r="B795" s="175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4.25" customHeight="1" x14ac:dyDescent="0.25">
      <c r="A796" s="12"/>
      <c r="B796" s="175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4.25" customHeight="1" x14ac:dyDescent="0.25">
      <c r="A797" s="12"/>
      <c r="B797" s="175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4.25" customHeight="1" x14ac:dyDescent="0.25">
      <c r="A798" s="12"/>
      <c r="B798" s="175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4.25" customHeight="1" x14ac:dyDescent="0.25">
      <c r="A799" s="12"/>
      <c r="B799" s="175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4.25" customHeight="1" x14ac:dyDescent="0.25">
      <c r="A800" s="12"/>
      <c r="B800" s="175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4.25" customHeight="1" x14ac:dyDescent="0.25">
      <c r="A801" s="12"/>
      <c r="B801" s="175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4.25" customHeight="1" x14ac:dyDescent="0.25">
      <c r="A802" s="12"/>
      <c r="B802" s="175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4.25" customHeight="1" x14ac:dyDescent="0.25">
      <c r="A803" s="12"/>
      <c r="B803" s="175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4.25" customHeight="1" x14ac:dyDescent="0.25">
      <c r="A804" s="12"/>
      <c r="B804" s="175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4.25" customHeight="1" x14ac:dyDescent="0.25">
      <c r="A805" s="12"/>
      <c r="B805" s="175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4.25" customHeight="1" x14ac:dyDescent="0.25">
      <c r="A806" s="12"/>
      <c r="B806" s="175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4.25" customHeight="1" x14ac:dyDescent="0.25">
      <c r="A807" s="12"/>
      <c r="B807" s="175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4.25" customHeight="1" x14ac:dyDescent="0.25">
      <c r="A808" s="12"/>
      <c r="B808" s="175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4.25" customHeight="1" x14ac:dyDescent="0.25">
      <c r="A809" s="12"/>
      <c r="B809" s="175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4.25" customHeight="1" x14ac:dyDescent="0.25">
      <c r="A810" s="12"/>
      <c r="B810" s="175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4.25" customHeight="1" x14ac:dyDescent="0.25">
      <c r="A811" s="12"/>
      <c r="B811" s="175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4.25" customHeight="1" x14ac:dyDescent="0.25">
      <c r="A812" s="12"/>
      <c r="B812" s="175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4.25" customHeight="1" x14ac:dyDescent="0.25">
      <c r="A813" s="12"/>
      <c r="B813" s="175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4.25" customHeight="1" x14ac:dyDescent="0.25">
      <c r="A814" s="12"/>
      <c r="B814" s="175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4.25" customHeight="1" x14ac:dyDescent="0.25">
      <c r="A815" s="12"/>
      <c r="B815" s="175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4.25" customHeight="1" x14ac:dyDescent="0.25">
      <c r="A816" s="12"/>
      <c r="B816" s="175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4.25" customHeight="1" x14ac:dyDescent="0.25">
      <c r="A817" s="12"/>
      <c r="B817" s="175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4.25" customHeight="1" x14ac:dyDescent="0.25">
      <c r="A818" s="12"/>
      <c r="B818" s="175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4.25" customHeight="1" x14ac:dyDescent="0.25">
      <c r="A819" s="12"/>
      <c r="B819" s="175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4.25" customHeight="1" x14ac:dyDescent="0.25">
      <c r="A820" s="12"/>
      <c r="B820" s="175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4.25" customHeight="1" x14ac:dyDescent="0.25">
      <c r="A821" s="12"/>
      <c r="B821" s="175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4.25" customHeight="1" x14ac:dyDescent="0.25">
      <c r="A822" s="12"/>
      <c r="B822" s="175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4.25" customHeight="1" x14ac:dyDescent="0.25">
      <c r="A823" s="12"/>
      <c r="B823" s="175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4.25" customHeight="1" x14ac:dyDescent="0.25">
      <c r="A824" s="12"/>
      <c r="B824" s="175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4.25" customHeight="1" x14ac:dyDescent="0.25">
      <c r="A825" s="12"/>
      <c r="B825" s="175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4.25" customHeight="1" x14ac:dyDescent="0.25">
      <c r="A826" s="12"/>
      <c r="B826" s="175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4.25" customHeight="1" x14ac:dyDescent="0.25">
      <c r="A827" s="12"/>
      <c r="B827" s="175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4.25" customHeight="1" x14ac:dyDescent="0.25">
      <c r="A828" s="12"/>
      <c r="B828" s="175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4.25" customHeight="1" x14ac:dyDescent="0.25">
      <c r="A829" s="12"/>
      <c r="B829" s="175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4.25" customHeight="1" x14ac:dyDescent="0.25">
      <c r="A830" s="12"/>
      <c r="B830" s="175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4.25" customHeight="1" x14ac:dyDescent="0.25">
      <c r="A831" s="12"/>
      <c r="B831" s="175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4.25" customHeight="1" x14ac:dyDescent="0.25">
      <c r="A832" s="12"/>
      <c r="B832" s="175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4.25" customHeight="1" x14ac:dyDescent="0.25">
      <c r="A833" s="12"/>
      <c r="B833" s="175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4.25" customHeight="1" x14ac:dyDescent="0.25">
      <c r="A834" s="12"/>
      <c r="B834" s="175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4.25" customHeight="1" x14ac:dyDescent="0.25">
      <c r="A835" s="12"/>
      <c r="B835" s="175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4.25" customHeight="1" x14ac:dyDescent="0.25">
      <c r="A836" s="12"/>
      <c r="B836" s="175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4.25" customHeight="1" x14ac:dyDescent="0.25">
      <c r="A837" s="12"/>
      <c r="B837" s="175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4.25" customHeight="1" x14ac:dyDescent="0.25">
      <c r="A838" s="12"/>
      <c r="B838" s="175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4.25" customHeight="1" x14ac:dyDescent="0.25">
      <c r="A839" s="12"/>
      <c r="B839" s="175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4.25" customHeight="1" x14ac:dyDescent="0.25">
      <c r="A840" s="12"/>
      <c r="B840" s="175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4.25" customHeight="1" x14ac:dyDescent="0.25">
      <c r="A841" s="12"/>
      <c r="B841" s="175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4.25" customHeight="1" x14ac:dyDescent="0.25">
      <c r="A842" s="12"/>
      <c r="B842" s="175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4.25" customHeight="1" x14ac:dyDescent="0.25">
      <c r="A843" s="12"/>
      <c r="B843" s="175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4.25" customHeight="1" x14ac:dyDescent="0.25">
      <c r="A844" s="12"/>
      <c r="B844" s="175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4.25" customHeight="1" x14ac:dyDescent="0.25">
      <c r="A845" s="12"/>
      <c r="B845" s="175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4.25" customHeight="1" x14ac:dyDescent="0.25">
      <c r="A846" s="12"/>
      <c r="B846" s="175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4.25" customHeight="1" x14ac:dyDescent="0.25">
      <c r="A847" s="12"/>
      <c r="B847" s="175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4.25" customHeight="1" x14ac:dyDescent="0.25">
      <c r="A848" s="12"/>
      <c r="B848" s="175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4.25" customHeight="1" x14ac:dyDescent="0.25">
      <c r="A849" s="12"/>
      <c r="B849" s="175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4.25" customHeight="1" x14ac:dyDescent="0.25">
      <c r="A850" s="12"/>
      <c r="B850" s="175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4.25" customHeight="1" x14ac:dyDescent="0.25">
      <c r="A851" s="12"/>
      <c r="B851" s="175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4.25" customHeight="1" x14ac:dyDescent="0.25">
      <c r="A852" s="12"/>
      <c r="B852" s="175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4.25" customHeight="1" x14ac:dyDescent="0.25">
      <c r="A853" s="12"/>
      <c r="B853" s="175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4.25" customHeight="1" x14ac:dyDescent="0.25">
      <c r="A854" s="12"/>
      <c r="B854" s="175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4.25" customHeight="1" x14ac:dyDescent="0.25">
      <c r="A855" s="12"/>
      <c r="B855" s="175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4.25" customHeight="1" x14ac:dyDescent="0.25">
      <c r="A856" s="12"/>
      <c r="B856" s="175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4.25" customHeight="1" x14ac:dyDescent="0.25">
      <c r="A857" s="12"/>
      <c r="B857" s="175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4.25" customHeight="1" x14ac:dyDescent="0.25">
      <c r="A858" s="12"/>
      <c r="B858" s="175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4.25" customHeight="1" x14ac:dyDescent="0.25">
      <c r="A859" s="12"/>
      <c r="B859" s="175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4.25" customHeight="1" x14ac:dyDescent="0.25">
      <c r="A860" s="12"/>
      <c r="B860" s="175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4.25" customHeight="1" x14ac:dyDescent="0.25">
      <c r="A861" s="12"/>
      <c r="B861" s="175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4.25" customHeight="1" x14ac:dyDescent="0.25">
      <c r="A862" s="12"/>
      <c r="B862" s="175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4.25" customHeight="1" x14ac:dyDescent="0.25">
      <c r="A863" s="12"/>
      <c r="B863" s="175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4.25" customHeight="1" x14ac:dyDescent="0.25">
      <c r="A864" s="12"/>
      <c r="B864" s="175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4.25" customHeight="1" x14ac:dyDescent="0.25">
      <c r="A865" s="12"/>
      <c r="B865" s="175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4.25" customHeight="1" x14ac:dyDescent="0.25">
      <c r="A866" s="12"/>
      <c r="B866" s="175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4.25" customHeight="1" x14ac:dyDescent="0.25">
      <c r="A867" s="12"/>
      <c r="B867" s="175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4.25" customHeight="1" x14ac:dyDescent="0.25">
      <c r="A868" s="12"/>
      <c r="B868" s="175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4.25" customHeight="1" x14ac:dyDescent="0.25">
      <c r="A869" s="12"/>
      <c r="B869" s="175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4.25" customHeight="1" x14ac:dyDescent="0.25">
      <c r="A870" s="12"/>
      <c r="B870" s="175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4.25" customHeight="1" x14ac:dyDescent="0.25">
      <c r="A871" s="12"/>
      <c r="B871" s="175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4.25" customHeight="1" x14ac:dyDescent="0.25">
      <c r="A872" s="12"/>
      <c r="B872" s="175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4.25" customHeight="1" x14ac:dyDescent="0.25">
      <c r="A873" s="12"/>
      <c r="B873" s="175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4.25" customHeight="1" x14ac:dyDescent="0.25">
      <c r="A874" s="12"/>
      <c r="B874" s="175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4.25" customHeight="1" x14ac:dyDescent="0.25">
      <c r="A875" s="12"/>
      <c r="B875" s="175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4.25" customHeight="1" x14ac:dyDescent="0.25">
      <c r="A876" s="12"/>
      <c r="B876" s="175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4.25" customHeight="1" x14ac:dyDescent="0.25">
      <c r="A877" s="12"/>
      <c r="B877" s="175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4.25" customHeight="1" x14ac:dyDescent="0.25">
      <c r="A878" s="12"/>
      <c r="B878" s="175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4.25" customHeight="1" x14ac:dyDescent="0.25">
      <c r="A879" s="12"/>
      <c r="B879" s="175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4.25" customHeight="1" x14ac:dyDescent="0.25">
      <c r="A880" s="12"/>
      <c r="B880" s="175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4.25" customHeight="1" x14ac:dyDescent="0.25">
      <c r="A881" s="12"/>
      <c r="B881" s="175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4.25" customHeight="1" x14ac:dyDescent="0.25">
      <c r="A882" s="12"/>
      <c r="B882" s="175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4.25" customHeight="1" x14ac:dyDescent="0.25">
      <c r="A883" s="12"/>
      <c r="B883" s="175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4.25" customHeight="1" x14ac:dyDescent="0.25">
      <c r="A884" s="12"/>
      <c r="B884" s="175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4.25" customHeight="1" x14ac:dyDescent="0.25">
      <c r="A885" s="12"/>
      <c r="B885" s="175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4.25" customHeight="1" x14ac:dyDescent="0.25">
      <c r="A886" s="12"/>
      <c r="B886" s="175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4.25" customHeight="1" x14ac:dyDescent="0.25">
      <c r="A887" s="12"/>
      <c r="B887" s="175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4.25" customHeight="1" x14ac:dyDescent="0.25">
      <c r="A888" s="12"/>
      <c r="B888" s="175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4.25" customHeight="1" x14ac:dyDescent="0.25">
      <c r="A889" s="12"/>
      <c r="B889" s="175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4.25" customHeight="1" x14ac:dyDescent="0.25">
      <c r="A890" s="12"/>
      <c r="B890" s="175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4.25" customHeight="1" x14ac:dyDescent="0.25">
      <c r="A891" s="12"/>
      <c r="B891" s="175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4.25" customHeight="1" x14ac:dyDescent="0.25">
      <c r="A892" s="12"/>
      <c r="B892" s="175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4.25" customHeight="1" x14ac:dyDescent="0.25">
      <c r="A893" s="12"/>
      <c r="B893" s="175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4.25" customHeight="1" x14ac:dyDescent="0.25">
      <c r="A894" s="12"/>
      <c r="B894" s="175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4.25" customHeight="1" x14ac:dyDescent="0.25">
      <c r="A895" s="12"/>
      <c r="B895" s="175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4.25" customHeight="1" x14ac:dyDescent="0.25">
      <c r="A896" s="12"/>
      <c r="B896" s="175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4.25" customHeight="1" x14ac:dyDescent="0.25">
      <c r="A897" s="12"/>
      <c r="B897" s="175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4.25" customHeight="1" x14ac:dyDescent="0.25">
      <c r="A898" s="12"/>
      <c r="B898" s="175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4.25" customHeight="1" x14ac:dyDescent="0.25">
      <c r="A899" s="12"/>
      <c r="B899" s="175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4.25" customHeight="1" x14ac:dyDescent="0.25">
      <c r="A900" s="12"/>
      <c r="B900" s="175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4.25" customHeight="1" x14ac:dyDescent="0.25">
      <c r="A901" s="12"/>
      <c r="B901" s="175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4.25" customHeight="1" x14ac:dyDescent="0.25">
      <c r="A902" s="12"/>
      <c r="B902" s="175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4.25" customHeight="1" x14ac:dyDescent="0.25">
      <c r="A903" s="12"/>
      <c r="B903" s="175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4.25" customHeight="1" x14ac:dyDescent="0.25">
      <c r="A904" s="12"/>
      <c r="B904" s="175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4.25" customHeight="1" x14ac:dyDescent="0.25">
      <c r="A905" s="12"/>
      <c r="B905" s="175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4.25" customHeight="1" x14ac:dyDescent="0.25">
      <c r="A906" s="12"/>
      <c r="B906" s="175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4.25" customHeight="1" x14ac:dyDescent="0.25">
      <c r="A907" s="12"/>
      <c r="B907" s="175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4.25" customHeight="1" x14ac:dyDescent="0.25">
      <c r="A908" s="12"/>
      <c r="B908" s="175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4.25" customHeight="1" x14ac:dyDescent="0.25">
      <c r="A909" s="12"/>
      <c r="B909" s="175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4.25" customHeight="1" x14ac:dyDescent="0.25">
      <c r="A910" s="12"/>
      <c r="B910" s="175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4.25" customHeight="1" x14ac:dyDescent="0.25">
      <c r="A911" s="12"/>
      <c r="B911" s="175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4.25" customHeight="1" x14ac:dyDescent="0.25">
      <c r="A912" s="12"/>
      <c r="B912" s="175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4.25" customHeight="1" x14ac:dyDescent="0.25">
      <c r="A913" s="12"/>
      <c r="B913" s="175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4.25" customHeight="1" x14ac:dyDescent="0.25">
      <c r="A914" s="12"/>
      <c r="B914" s="175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4.25" customHeight="1" x14ac:dyDescent="0.25">
      <c r="A915" s="12"/>
      <c r="B915" s="175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4.25" customHeight="1" x14ac:dyDescent="0.25">
      <c r="A916" s="12"/>
      <c r="B916" s="175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4.25" customHeight="1" x14ac:dyDescent="0.25">
      <c r="A917" s="12"/>
      <c r="B917" s="175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4.25" customHeight="1" x14ac:dyDescent="0.25">
      <c r="A918" s="12"/>
      <c r="B918" s="175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4.25" customHeight="1" x14ac:dyDescent="0.25">
      <c r="A919" s="12"/>
      <c r="B919" s="175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4.25" customHeight="1" x14ac:dyDescent="0.25">
      <c r="A920" s="12"/>
      <c r="B920" s="175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4.25" customHeight="1" x14ac:dyDescent="0.25">
      <c r="A921" s="12"/>
      <c r="B921" s="175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4.25" customHeight="1" x14ac:dyDescent="0.25">
      <c r="A922" s="12"/>
      <c r="B922" s="175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4.25" customHeight="1" x14ac:dyDescent="0.25">
      <c r="A923" s="12"/>
      <c r="B923" s="175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4.25" customHeight="1" x14ac:dyDescent="0.25">
      <c r="A924" s="12"/>
      <c r="B924" s="175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4.25" customHeight="1" x14ac:dyDescent="0.25">
      <c r="A925" s="12"/>
      <c r="B925" s="175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4.25" customHeight="1" x14ac:dyDescent="0.25">
      <c r="A926" s="12"/>
      <c r="B926" s="175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4.25" customHeight="1" x14ac:dyDescent="0.25">
      <c r="A927" s="12"/>
      <c r="B927" s="175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4.25" customHeight="1" x14ac:dyDescent="0.25">
      <c r="A928" s="12"/>
      <c r="B928" s="175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4.25" customHeight="1" x14ac:dyDescent="0.25">
      <c r="A929" s="12"/>
      <c r="B929" s="175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4.25" customHeight="1" x14ac:dyDescent="0.25">
      <c r="A930" s="12"/>
      <c r="B930" s="175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4.25" customHeight="1" x14ac:dyDescent="0.25">
      <c r="A931" s="12"/>
      <c r="B931" s="175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4.25" customHeight="1" x14ac:dyDescent="0.25">
      <c r="A932" s="12"/>
      <c r="B932" s="175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4.25" customHeight="1" x14ac:dyDescent="0.25">
      <c r="A933" s="12"/>
      <c r="B933" s="175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4.25" customHeight="1" x14ac:dyDescent="0.25">
      <c r="A934" s="12"/>
      <c r="B934" s="175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4.25" customHeight="1" x14ac:dyDescent="0.25">
      <c r="A935" s="12"/>
      <c r="B935" s="175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4.25" customHeight="1" x14ac:dyDescent="0.25">
      <c r="A936" s="12"/>
      <c r="B936" s="175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4.25" customHeight="1" x14ac:dyDescent="0.25">
      <c r="A937" s="12"/>
      <c r="B937" s="175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4.25" customHeight="1" x14ac:dyDescent="0.25">
      <c r="A938" s="12"/>
      <c r="B938" s="175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4.25" customHeight="1" x14ac:dyDescent="0.25">
      <c r="A939" s="12"/>
      <c r="B939" s="175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4.25" customHeight="1" x14ac:dyDescent="0.25">
      <c r="A940" s="12"/>
      <c r="B940" s="175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4.25" customHeight="1" x14ac:dyDescent="0.25">
      <c r="A941" s="12"/>
      <c r="B941" s="175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4.25" customHeight="1" x14ac:dyDescent="0.25">
      <c r="A942" s="12"/>
      <c r="B942" s="175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4.25" customHeight="1" x14ac:dyDescent="0.25">
      <c r="A943" s="12"/>
      <c r="B943" s="175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4.25" customHeight="1" x14ac:dyDescent="0.25">
      <c r="A944" s="12"/>
      <c r="B944" s="175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4.25" customHeight="1" x14ac:dyDescent="0.25">
      <c r="A945" s="12"/>
      <c r="B945" s="175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4.25" customHeight="1" x14ac:dyDescent="0.25">
      <c r="A946" s="12"/>
      <c r="B946" s="175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4.25" customHeight="1" x14ac:dyDescent="0.25">
      <c r="A947" s="12"/>
      <c r="B947" s="175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4.25" customHeight="1" x14ac:dyDescent="0.25">
      <c r="A948" s="12"/>
      <c r="B948" s="175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4.25" customHeight="1" x14ac:dyDescent="0.25">
      <c r="A949" s="12"/>
      <c r="B949" s="175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4.25" customHeight="1" x14ac:dyDescent="0.25">
      <c r="A950" s="12"/>
      <c r="B950" s="175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4.25" customHeight="1" x14ac:dyDescent="0.25">
      <c r="A951" s="12"/>
      <c r="B951" s="175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4.25" customHeight="1" x14ac:dyDescent="0.25">
      <c r="A952" s="12"/>
      <c r="B952" s="175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4.25" customHeight="1" x14ac:dyDescent="0.25">
      <c r="A953" s="12"/>
      <c r="B953" s="175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4.25" customHeight="1" x14ac:dyDescent="0.25">
      <c r="A954" s="12"/>
      <c r="B954" s="175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4.25" customHeight="1" x14ac:dyDescent="0.25">
      <c r="A955" s="12"/>
      <c r="B955" s="175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4.25" customHeight="1" x14ac:dyDescent="0.25">
      <c r="A956" s="12"/>
      <c r="B956" s="175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</sheetData>
  <sheetProtection algorithmName="SHA-512" hashValue="5D21xk7zZBbg9fXqAsfMqTWeWdRxcuPSOClQKtrrQ0yfl4hMcuxuGmKlQ2OQ7x1EU/2dvmllW4zKaMNULvGwGQ==" saltValue="uyAoLYk3gbHkirCteKXNzg==" spinCount="100000" sheet="1" objects="1" scenarios="1"/>
  <mergeCells count="1">
    <mergeCell ref="A1:B1"/>
  </mergeCells>
  <conditionalFormatting sqref="A31:C56">
    <cfRule type="expression" dxfId="1" priority="3">
      <formula>$B31=$C31</formula>
    </cfRule>
  </conditionalFormatting>
  <conditionalFormatting sqref="B31:B56">
    <cfRule type="cellIs" dxfId="0" priority="4" operator="greaterThan">
      <formula>$B$20</formula>
    </cfRule>
  </conditionalFormatting>
  <dataValidations count="3">
    <dataValidation type="decimal" allowBlank="1" showInputMessage="1" showErrorMessage="1" sqref="B15:B17" xr:uid="{00000000-0002-0000-0400-000000000000}">
      <formula1>0</formula1>
      <formula2>1000000</formula2>
    </dataValidation>
    <dataValidation type="whole" operator="greaterThan" allowBlank="1" showInputMessage="1" showErrorMessage="1" sqref="B20:B21" xr:uid="{00000000-0002-0000-0400-000002000000}">
      <formula1>0</formula1>
    </dataValidation>
    <dataValidation type="decimal" allowBlank="1" showInputMessage="1" showErrorMessage="1" prompt="solo caracteres numéricos" sqref="B8:B11 B6" xr:uid="{00000000-0002-0000-0400-000001000000}">
      <formula1>0</formula1>
      <formula2>1000000</formula2>
    </dataValidation>
  </dataValidations>
  <pageMargins left="0.7" right="0.7" top="0.75" bottom="0.75" header="0" footer="0"/>
  <pageSetup paperSize="9" fitToWidth="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58503C180B79408DB858F3B1AC83A4" ma:contentTypeVersion="16" ma:contentTypeDescription="Create a new document." ma:contentTypeScope="" ma:versionID="a3827fcf55a98bf43d4640e0de315bef">
  <xsd:schema xmlns:xsd="http://www.w3.org/2001/XMLSchema" xmlns:xs="http://www.w3.org/2001/XMLSchema" xmlns:p="http://schemas.microsoft.com/office/2006/metadata/properties" xmlns:ns2="51583f38-6b34-4a53-b61a-9b0f1a768265" xmlns:ns3="6fa7b9c8-75da-409b-8aa2-024bd3215a4c" targetNamespace="http://schemas.microsoft.com/office/2006/metadata/properties" ma:root="true" ma:fieldsID="4c35b1ebc88d8c4861390187f5d2f413" ns2:_="" ns3:_="">
    <xsd:import namespace="51583f38-6b34-4a53-b61a-9b0f1a768265"/>
    <xsd:import namespace="6fa7b9c8-75da-409b-8aa2-024bd3215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83f38-6b34-4a53-b61a-9b0f1a768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d24c46a-b909-48e7-9981-7bfb7d9e87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7b9c8-75da-409b-8aa2-024bd3215a4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71515e-653e-44d8-be88-bc38976a3819}" ma:internalName="TaxCatchAll" ma:showField="CatchAllData" ma:web="6fa7b9c8-75da-409b-8aa2-024bd3215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583f38-6b34-4a53-b61a-9b0f1a768265">
      <Terms xmlns="http://schemas.microsoft.com/office/infopath/2007/PartnerControls"/>
    </lcf76f155ced4ddcb4097134ff3c332f>
    <TaxCatchAll xmlns="6fa7b9c8-75da-409b-8aa2-024bd3215a4c" xsi:nil="true"/>
  </documentManagement>
</p:properties>
</file>

<file path=customXml/itemProps1.xml><?xml version="1.0" encoding="utf-8"?>
<ds:datastoreItem xmlns:ds="http://schemas.openxmlformats.org/officeDocument/2006/customXml" ds:itemID="{7711BBE5-35AE-4C7F-BD6D-33761B8E13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EEB254-FD2C-408C-97F8-E0A3BF037E99}"/>
</file>

<file path=customXml/itemProps3.xml><?xml version="1.0" encoding="utf-8"?>
<ds:datastoreItem xmlns:ds="http://schemas.openxmlformats.org/officeDocument/2006/customXml" ds:itemID="{13E70374-921B-4551-81D0-756D82C86F1A}">
  <ds:schemaRefs>
    <ds:schemaRef ds:uri="http://schemas.microsoft.com/office/2006/metadata/properties"/>
    <ds:schemaRef ds:uri="http://schemas.microsoft.com/office/infopath/2007/PartnerControls"/>
    <ds:schemaRef ds:uri="3e229c51-929f-48b9-bf93-5337f11f965b"/>
    <ds:schemaRef ds:uri="4e8ea547-c28b-4d8b-b2f5-628db7de86d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1. INSTRUCCIONES</vt:lpstr>
      <vt:lpstr>2. COSTOS PERSONAL</vt:lpstr>
      <vt:lpstr>3. COSTOS INFRAESTRUCTURA</vt:lpstr>
      <vt:lpstr>4. CÁLCULO</vt:lpstr>
      <vt:lpstr>'1. INSTRUCCIONES'!Área_de_impresión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POSGRADO 1</dc:creator>
  <cp:lastModifiedBy>MARÍA GABRIELA RUIZ HINOJOSA</cp:lastModifiedBy>
  <cp:lastPrinted>2024-08-15T21:54:35Z</cp:lastPrinted>
  <dcterms:created xsi:type="dcterms:W3CDTF">2019-04-08T21:28:08Z</dcterms:created>
  <dcterms:modified xsi:type="dcterms:W3CDTF">2024-12-20T00:11:36Z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0x0101000758503C180B79408DB858F3B1AC83A4</vt:lpwstr>
  </property>
</Properties>
</file>