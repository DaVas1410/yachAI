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barragan\Downloads\"/>
    </mc:Choice>
  </mc:AlternateContent>
  <xr:revisionPtr revIDLastSave="0" documentId="13_ncr:1_{26160E6E-4F3E-4FF5-A854-CD0A86642F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ELO RESUMEN CAJA CHICA" sheetId="4" r:id="rId1"/>
    <sheet name="PROYECCION DE GASTO" sheetId="5" r:id="rId2"/>
  </sheets>
  <definedNames>
    <definedName name="RENTA">'PROYECCION DE GASTO'!$A$1:$D$126</definedName>
    <definedName name="RETENCION">'PROYECCION DE GASTO'!$B$1:$D$127</definedName>
    <definedName name="RETENCIONES">'PROYECCION DE GASTO'!$A$1:$D$126</definedName>
  </definedNames>
  <calcPr calcId="191028" iterateDelta="1E-4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4" l="1"/>
  <c r="K10" i="4"/>
  <c r="K11" i="4"/>
  <c r="K12" i="4"/>
  <c r="K13" i="4"/>
  <c r="K14" i="4"/>
  <c r="K8" i="4"/>
  <c r="J9" i="4"/>
  <c r="J10" i="4"/>
  <c r="J11" i="4"/>
  <c r="J12" i="4"/>
  <c r="J13" i="4"/>
  <c r="J14" i="4"/>
  <c r="J8" i="4"/>
  <c r="Q8" i="4"/>
  <c r="I9" i="4"/>
  <c r="I10" i="4"/>
  <c r="I11" i="4"/>
  <c r="I12" i="4"/>
  <c r="I13" i="4"/>
  <c r="I14" i="4"/>
  <c r="I8" i="4"/>
  <c r="N9" i="4"/>
  <c r="P9" i="4"/>
  <c r="N10" i="4"/>
  <c r="P10" i="4"/>
  <c r="N11" i="4"/>
  <c r="P11" i="4"/>
  <c r="N12" i="4"/>
  <c r="P12" i="4"/>
  <c r="N13" i="4"/>
  <c r="P13" i="4"/>
  <c r="N14" i="4"/>
  <c r="P14" i="4"/>
  <c r="N8" i="4"/>
  <c r="P8" i="4"/>
  <c r="Q11" i="4"/>
  <c r="Q13" i="4"/>
  <c r="Q14" i="4"/>
  <c r="J20" i="4"/>
  <c r="Q10" i="4"/>
  <c r="R10" i="4"/>
  <c r="S10" i="4"/>
  <c r="R14" i="4"/>
  <c r="S14" i="4"/>
  <c r="Q9" i="4"/>
  <c r="R9" i="4"/>
  <c r="S9" i="4"/>
  <c r="R13" i="4"/>
  <c r="Q12" i="4"/>
  <c r="R12" i="4"/>
  <c r="S12" i="4"/>
  <c r="S13" i="4"/>
  <c r="R11" i="4"/>
  <c r="S11" i="4"/>
  <c r="R8" i="4"/>
  <c r="S8" i="4"/>
  <c r="K15" i="4"/>
  <c r="J21" i="4"/>
  <c r="J22" i="4"/>
  <c r="S16" i="4"/>
  <c r="C20" i="4"/>
  <c r="D20" i="4"/>
  <c r="R15" i="4"/>
  <c r="C21" i="4"/>
  <c r="C22" i="4"/>
</calcChain>
</file>

<file path=xl/sharedStrings.xml><?xml version="1.0" encoding="utf-8"?>
<sst xmlns="http://schemas.openxmlformats.org/spreadsheetml/2006/main" count="314" uniqueCount="274">
  <si>
    <t xml:space="preserve">RESUMEN Y REPOSICIÓN DE CAJA CHICA - </t>
  </si>
  <si>
    <t>FECHA VALE</t>
  </si>
  <si>
    <t>Nº VALE CAJA CHICA</t>
  </si>
  <si>
    <t xml:space="preserve"> SOLICITUD</t>
  </si>
  <si>
    <t>CONCEPTO</t>
  </si>
  <si>
    <t>COMPRAS</t>
  </si>
  <si>
    <t>TOTAL COMPROBANTES DE VENTA</t>
  </si>
  <si>
    <t>RETENCIONES</t>
  </si>
  <si>
    <t>TOTAL  RETENCIONES</t>
  </si>
  <si>
    <t>TOTAL COMPROBANTE MENOS RTE.</t>
  </si>
  <si>
    <t>Nº FACTURA</t>
  </si>
  <si>
    <t>TARIFA 0%</t>
  </si>
  <si>
    <t>TARIFA 15%</t>
  </si>
  <si>
    <t>IVA 15%</t>
  </si>
  <si>
    <t>Nº RETENCIÓN</t>
  </si>
  <si>
    <t xml:space="preserve">CODIGO DE RETENCIÓN EN LA FUENTE </t>
  </si>
  <si>
    <t>% DE RETENCIÓN EN LA FUENTE</t>
  </si>
  <si>
    <t>% DE RETENCIÓN EN IVA</t>
  </si>
  <si>
    <t>VALOR RETENIDO EN FUENTE IMPUESTOS A LA RENTA</t>
  </si>
  <si>
    <t>VALOR RETENIDO EN IVA</t>
  </si>
  <si>
    <t>304B</t>
  </si>
  <si>
    <t>SUMAN</t>
  </si>
  <si>
    <t>TOTAL CAJA CHICA   (FACTURAS - RETENCIONES)</t>
  </si>
  <si>
    <t>RESUMEN</t>
  </si>
  <si>
    <t>FONDO ASIGNADO</t>
  </si>
  <si>
    <t>% Consumido</t>
  </si>
  <si>
    <t>CP</t>
  </si>
  <si>
    <t xml:space="preserve">GASTO GENERADO </t>
  </si>
  <si>
    <t xml:space="preserve">GASTO ACUMULADO </t>
  </si>
  <si>
    <t>SALDO EN FONDO DE CAJA</t>
  </si>
  <si>
    <t>GASTO ESTA CAJA</t>
  </si>
  <si>
    <t>SALDO A REPONER</t>
  </si>
  <si>
    <t>SALDO EN CP</t>
  </si>
  <si>
    <t>Elaborado por:</t>
  </si>
  <si>
    <t>Aprobado por:</t>
  </si>
  <si>
    <t>Nombre y Apellido</t>
  </si>
  <si>
    <t>CUSTODIO(A)</t>
  </si>
  <si>
    <t>AUTORIZADOR DE GASTO</t>
  </si>
  <si>
    <t xml:space="preserve">Código del Anexo </t>
  </si>
  <si>
    <t xml:space="preserve">DETALLE DE PORCENTAJES DE RETENCION  EN LA FUENTE  DE IMPUESTO A LA RENTA CONFORME LA NORMATIVA VIGENTE  </t>
  </si>
  <si>
    <t>Porcentajes vigentes</t>
  </si>
  <si>
    <t>Campo Formulario 103</t>
  </si>
  <si>
    <t>No aplica</t>
  </si>
  <si>
    <t>Honorarios profesionales y demás pagos por servicios relacionados con el título profesional</t>
  </si>
  <si>
    <t>Servicios predomina el intelecto no relacionados con el título profesional</t>
  </si>
  <si>
    <t>304A</t>
  </si>
  <si>
    <t>Comisiones y demás pagos por servicios predomina intelecto no relacionados con el título profesional</t>
  </si>
  <si>
    <t>Pagos a notarios y registradores de la propiedad y mercantil por sus actividades ejercidas como tales</t>
  </si>
  <si>
    <t>304C</t>
  </si>
  <si>
    <t>Pagos a deportistas, entrenadores, árbitros, miembros del cuerpo técnico por sus actividades ejercidas como tales</t>
  </si>
  <si>
    <t>304D</t>
  </si>
  <si>
    <t>Pagos a artistas por sus actividades ejercidas como tales</t>
  </si>
  <si>
    <t>304E</t>
  </si>
  <si>
    <t>Honorarios y demás pagos por servicios de docencia</t>
  </si>
  <si>
    <t>Servicios predomina la mano de obra</t>
  </si>
  <si>
    <t>Utilización o aprovechamiento de la imagen o renombre</t>
  </si>
  <si>
    <t>Servicios prestados por medios de comunicación y agencias de publicidad</t>
  </si>
  <si>
    <t>Servicio de transporte privado de pasajeros o transporte público o privado de carga</t>
  </si>
  <si>
    <t>Pagos a través de liquidación de compra (nivel cultural o rusticidad)</t>
  </si>
  <si>
    <t>Transferencia de bienes muebles de naturaleza corporal</t>
  </si>
  <si>
    <t>312A</t>
  </si>
  <si>
    <t>Compra de bienes de origen agrícola, avícola, pecuario, apícola, cunícula, bioacuático, forestal y carnes en estado natural</t>
  </si>
  <si>
    <t>312B</t>
  </si>
  <si>
    <t>Impuesto a la Renta único para la actividad de producción y cultivo de palma aceitera</t>
  </si>
  <si>
    <t>314A</t>
  </si>
  <si>
    <t>Regalías por concepto de franquicias de acuerdo a Ley de Propiedad Intelectual - pago a personas naturales</t>
  </si>
  <si>
    <t>314B</t>
  </si>
  <si>
    <t>Cánones, derechos de autor,  marcas, patentes y similares de acuerdo a Ley de Propiedad Intelectual – pago a personas naturales</t>
  </si>
  <si>
    <t>314C</t>
  </si>
  <si>
    <t>Regalías por concepto de franquicias de acuerdo a Ley de Propiedad Intelectual  - pago a sociedades</t>
  </si>
  <si>
    <t>314D</t>
  </si>
  <si>
    <t>Cánones, derechos de autor,  marcas, patentes y similares de acuerdo a Ley de Propiedad Intelectual – pago a sociedades</t>
  </si>
  <si>
    <t>Cuotas de arrendamiento mercantil (prestado por sociedades), inclusive la de opción de compra</t>
  </si>
  <si>
    <t>Arrendamiento bienes inmuebles</t>
  </si>
  <si>
    <t>Seguros y reaseguros (primas y cesiones)</t>
  </si>
  <si>
    <t>Rendimientos financieros pagados a naturales y sociedades  (No a IFIs)</t>
  </si>
  <si>
    <t>323A</t>
  </si>
  <si>
    <t>Rendimientos financieros: depósitos Cta. Corriente</t>
  </si>
  <si>
    <t>323B1</t>
  </si>
  <si>
    <t>Rendimientos financieros:  depósitos Cta. Ahorros Sociedades</t>
  </si>
  <si>
    <t>323E</t>
  </si>
  <si>
    <t>Rendimientos financieros: depósito a plazo fijo  gravados</t>
  </si>
  <si>
    <t>323E2</t>
  </si>
  <si>
    <t>Rendimientos financieros: depósito a plazo fijo exentos</t>
  </si>
  <si>
    <t>323F</t>
  </si>
  <si>
    <t>Rendimientos financieros: operaciones de reporto - repos</t>
  </si>
  <si>
    <t>323G</t>
  </si>
  <si>
    <t>Inversiones (captaciones) rendimientos distintos de aquellos pagados a IFIs</t>
  </si>
  <si>
    <t>323H</t>
  </si>
  <si>
    <t>Rendimientos financieros: obligaciones</t>
  </si>
  <si>
    <t>323I</t>
  </si>
  <si>
    <t>Rendimientos financieros: bonos convertible en acciones</t>
  </si>
  <si>
    <t>323 M</t>
  </si>
  <si>
    <t xml:space="preserve">Rendimientos financieros: Inversiones en títulos valores en renta fija gravados </t>
  </si>
  <si>
    <t>323 N</t>
  </si>
  <si>
    <t>Rendimientos financieros: Inversiones en títulos valores en renta fija exentos</t>
  </si>
  <si>
    <t>323 O</t>
  </si>
  <si>
    <t>Intereses y demás rendimientos financieros pagados a bancos y otras entidades sometidas al control de la Superintendencia de Bancos y de la Economía Popular y Solidaria</t>
  </si>
  <si>
    <t>323 P</t>
  </si>
  <si>
    <t>Intereses pagados por entidades del sector público a favor de sujetos pasivos</t>
  </si>
  <si>
    <t>323Q</t>
  </si>
  <si>
    <t xml:space="preserve">Otros intereses y rendimientos financieros gravados </t>
  </si>
  <si>
    <t>323R</t>
  </si>
  <si>
    <t>Otros intereses y rendimientos financieros exentos</t>
  </si>
  <si>
    <t>323S</t>
  </si>
  <si>
    <t>Pagos y créditos en cuenta efectuados por el BCE y los depósitos centralizados de valores, en calidad de intermediarios, a instituciones del sistema financiero por cuenta de otras personas naturales y sociedades</t>
  </si>
  <si>
    <t>323T</t>
  </si>
  <si>
    <t>Rendimientos financieros originados en la deuda pública ecuatoriana</t>
  </si>
  <si>
    <t>323U</t>
  </si>
  <si>
    <t>Rendimientos financieros originados en títulos valores de obligaciones de 360 días o más para el financiamiento de proyectos públicos en asociación público-privada</t>
  </si>
  <si>
    <t>324A</t>
  </si>
  <si>
    <t>Intereses y comisiones en operaciones de crédito entre instituciones del sistema financiero y entidades economía popular y solidaria.</t>
  </si>
  <si>
    <t>324B</t>
  </si>
  <si>
    <t>Inversiones entre instituciones del sistema financiero y entidades economía popular y solidaria</t>
  </si>
  <si>
    <t>324C</t>
  </si>
  <si>
    <t>Pagos y créditos en cuenta efectuados por el BCE y los depósitos centralizados de valores, en calidad de intermediarios, a instituciones del sistema financiero por cuenta de otras instituciones del sistema financiero</t>
  </si>
  <si>
    <t>Anticipo dividendos</t>
  </si>
  <si>
    <t>22 ó 25</t>
  </si>
  <si>
    <t>325A</t>
  </si>
  <si>
    <t>Préstamos accionistas, beneficiarios o partícipes residentes o establecidos en el Ecuador</t>
  </si>
  <si>
    <t xml:space="preserve">Dividendos distribuidos que correspondan al impuesto a la renta único establecido en el art. 27 de la LRTI </t>
  </si>
  <si>
    <t>Hasta 25 y conforme la Resolución NAC-DGERCGC20-000000013</t>
  </si>
  <si>
    <t>Dividendos distribuidos a personas naturales residentes</t>
  </si>
  <si>
    <t>Dividendos distribuidos a sociedades residentes</t>
  </si>
  <si>
    <t>Dividendos distribuidos a fideicomisos residentes</t>
  </si>
  <si>
    <t>Dividendos en acciones (capitalización de utilidades)</t>
  </si>
  <si>
    <t>Otras compras de bienes y servicios no sujetas a retención (incluye régimen RIMPE - Negocios Populares para este caso aplica con cualquier forma de pago inclusive los pagos que deban realizar las tarjetas de crédito/débito)</t>
  </si>
  <si>
    <t>332B</t>
  </si>
  <si>
    <t>Compra de bienes inmuebles</t>
  </si>
  <si>
    <t>332C</t>
  </si>
  <si>
    <t>Transporte público de pasajeros</t>
  </si>
  <si>
    <t>332D</t>
  </si>
  <si>
    <t>Pagos en el país por transporte de pasajeros o transporte internacional de carga, a compañías nacionales o extranjeras de aviación o marítimas</t>
  </si>
  <si>
    <t>332E</t>
  </si>
  <si>
    <t>Valores entregados por las cooperativas de transporte a sus socios</t>
  </si>
  <si>
    <t>332F</t>
  </si>
  <si>
    <t>Compraventa de divisas distintas al dólar de los Estados Unidos de América</t>
  </si>
  <si>
    <t>332G</t>
  </si>
  <si>
    <t xml:space="preserve">Pagos con tarjeta de crédito </t>
  </si>
  <si>
    <t>332H</t>
  </si>
  <si>
    <t>Pago al exterior tarjeta de crédito reportada por la Emisora de tarjeta de crédito, solo RECAP</t>
  </si>
  <si>
    <t>332I</t>
  </si>
  <si>
    <t>Pago a través de convenio de debito (Clientes IFI`s)</t>
  </si>
  <si>
    <t>Ganancia en la enajenación de derechos representativos de capital u otros derechos que permitan la exploración, explotación, concesión o similares de sociedades, que se coticen en bolsa de valores del Ecuador</t>
  </si>
  <si>
    <t>Contraprestación producida por la enajenación de derechos representativos de capital u otros derechos que permitan la exploración, explotación, concesión o similares de sociedades, no cotizados en bolsa de valores del Ecuador</t>
  </si>
  <si>
    <t>Loterías, rifas, apuestas y similares</t>
  </si>
  <si>
    <t>Venta de combustibles a comercializadoras</t>
  </si>
  <si>
    <t>2/mil</t>
  </si>
  <si>
    <t>Venta de combustibles a distribuidores</t>
  </si>
  <si>
    <t>3/mil</t>
  </si>
  <si>
    <t>Producción y venta local de banano producido o no por el mismo sujeto pasivo</t>
  </si>
  <si>
    <t>1 - 2</t>
  </si>
  <si>
    <t>Impuesto único a la exportación de banano</t>
  </si>
  <si>
    <t>Otras retenciones aplicables el 1% (incluye régimen RIMPE - Emprendedores, para este caso aplica con cualquier forma de pago inclusive los pagos que deban realizar las tarjetas de crédito/débito)</t>
  </si>
  <si>
    <t>343A</t>
  </si>
  <si>
    <t>Energía eléctrica</t>
  </si>
  <si>
    <t>343B</t>
  </si>
  <si>
    <t>Actividades de construcción de obra material inmueble, urbanización, lotización o actividades similares</t>
  </si>
  <si>
    <t>343C</t>
  </si>
  <si>
    <t>Impuesto Redimible a las botellas plásticas - IRBP</t>
  </si>
  <si>
    <t>Otras retenciones aplicables el 2,75%</t>
  </si>
  <si>
    <t>344A</t>
  </si>
  <si>
    <t>Pago local tarjeta de crédito /débito reportada por la Emisora de tarjeta de crédito / entidades del sistema financiero</t>
  </si>
  <si>
    <t>344B</t>
  </si>
  <si>
    <t>Adquisición de sustancias minerales dentro del territorio nacional</t>
  </si>
  <si>
    <t>Otras retenciones aplicables el 8%</t>
  </si>
  <si>
    <t>Otras retenciones aplicables a otros porcentajes</t>
  </si>
  <si>
    <t>346A</t>
  </si>
  <si>
    <t xml:space="preserve">Otras ganancias de capital distintas de enajenación de derechos representativos de capital </t>
  </si>
  <si>
    <t>varios porcentajes</t>
  </si>
  <si>
    <t>346B</t>
  </si>
  <si>
    <t xml:space="preserve">Donaciones en dinero -Impuesto a la donaciones </t>
  </si>
  <si>
    <t>Según art 36 LRTI literal d)</t>
  </si>
  <si>
    <t>346C</t>
  </si>
  <si>
    <t>Retención a cargo del propio sujeto pasivo por la exportación de concentrados y/o elementos metálicos</t>
  </si>
  <si>
    <t xml:space="preserve"> 0 ó 10</t>
  </si>
  <si>
    <t>346D</t>
  </si>
  <si>
    <t>Retención a cargo del propio sujeto pasivo por la comercialización de productos forestales</t>
  </si>
  <si>
    <t>Impuesto único a ingresos provenientes de actividades agropecuarias en etapa de producción / comercialización local o exportación</t>
  </si>
  <si>
    <t>Otras autoretenciones</t>
  </si>
  <si>
    <t>1,50 ó 1,75</t>
  </si>
  <si>
    <t>Pago a no residentes - Rentas Inmobiliarias</t>
  </si>
  <si>
    <t>25 ó 37</t>
  </si>
  <si>
    <t>Pago a no residentes - Beneficios/Servicios  Empresariales</t>
  </si>
  <si>
    <t>501A</t>
  </si>
  <si>
    <t>Pago a no residentes - Servicios técnicos, administrativos o de consultoría y regalías</t>
  </si>
  <si>
    <t>410,421,431</t>
  </si>
  <si>
    <t>Pago a no residentes- Navegación Marítima y/o aérea</t>
  </si>
  <si>
    <t>0 ó 25 ó 37</t>
  </si>
  <si>
    <t>Pago a no residentes- Dividendos distribuidos a personas naturales (domicilados o no en paraiso fiscal) o a sociedades sin beneficiario efectivo persona natural residente en Ecuador</t>
  </si>
  <si>
    <t>4050, 4160, 4260</t>
  </si>
  <si>
    <t>504A</t>
  </si>
  <si>
    <t>Dividendos a sociedades con beneficiario efectivo persona natural residente en el Ecuador</t>
  </si>
  <si>
    <t>4060, 4170</t>
  </si>
  <si>
    <t>504B</t>
  </si>
  <si>
    <t>Dividendos a no residentes incumpliendo el deber de informar la composición societaria</t>
  </si>
  <si>
    <t>4070, 4180, 4280</t>
  </si>
  <si>
    <t>504C</t>
  </si>
  <si>
    <t>Dividendos a residentes o establecidos en paraísos fiscales o regímenes de menor imposición (con beneficiario Persona Natural residente en Ecuador)</t>
  </si>
  <si>
    <t>504D</t>
  </si>
  <si>
    <t>Pago a no residentes - Dividendos a fideicomisos domiciladas en paraísos fiscales o regímenes de menor imposición (con beneficiario efectivo persona natural residente en el Ecuador)</t>
  </si>
  <si>
    <t>504E</t>
  </si>
  <si>
    <t>Pago a no residentes - Anticipo dividendos (no domiciliada en paraísos fiscales o regímenes de menor imposición)</t>
  </si>
  <si>
    <t>504F</t>
  </si>
  <si>
    <t>Pago a no residentes - Anticipo dividendos (domiciliadas en paraísos fiscales o regímenes de menor imposición)</t>
  </si>
  <si>
    <t>22, 25 ó 28</t>
  </si>
  <si>
    <t>504G</t>
  </si>
  <si>
    <t>Pago a no residentes - Préstamos accionistas, beneficiarios o partìcipes (no domiciladas en paraísos fiscales o regímenes de menor imposición)</t>
  </si>
  <si>
    <t>504H</t>
  </si>
  <si>
    <t>Pago a no residentes - Préstamos accionistas, beneficiarios o partìcipes (domiciladas en paraísos fiscales o regímenes de menor imposición)</t>
  </si>
  <si>
    <t>504I</t>
  </si>
  <si>
    <t>Pago a no residentes - Préstamos no comerciales a partes relacionadas  (no domiciladas en paraísos fiscales o regímenes de menor imposición)</t>
  </si>
  <si>
    <t>504J</t>
  </si>
  <si>
    <t>Pago a no residentes - Préstamos no comerciales a partes relacionadas  (domiciladas en paraísos fiscales o regímenes de menor imposición)</t>
  </si>
  <si>
    <t>Pago a no residentes - Rendimientos financieros</t>
  </si>
  <si>
    <t>505A</t>
  </si>
  <si>
    <t>Pago a no residentes – Intereses de créditos de Instituciones Financieras del exterior</t>
  </si>
  <si>
    <t>0 ó 25</t>
  </si>
  <si>
    <t>403,414,424</t>
  </si>
  <si>
    <t>505B</t>
  </si>
  <si>
    <t>Pago a no residentes – Intereses de créditos de gobierno a gobierno</t>
  </si>
  <si>
    <t>505C</t>
  </si>
  <si>
    <t>Pago a no residentes – Intereses de créditos de organismos multilaterales</t>
  </si>
  <si>
    <t>505D</t>
  </si>
  <si>
    <t>Pago a no residentes - Intereses por financiamiento de proveedores externos</t>
  </si>
  <si>
    <t>402,413,424</t>
  </si>
  <si>
    <t>505E</t>
  </si>
  <si>
    <t>Pago a no residentes - Intereses de otros créditos externos</t>
  </si>
  <si>
    <t>505F</t>
  </si>
  <si>
    <t>Pago a no residentes - Otros Intereses y Rendimientos Financieros</t>
  </si>
  <si>
    <t>Pago a no residentes- Cánones, derechos de autor,  marcas, patentes y similares</t>
  </si>
  <si>
    <t>509A</t>
  </si>
  <si>
    <t>PPago a no residentes - Regalías por concepto de franquicias</t>
  </si>
  <si>
    <t xml:space="preserve">Pago a no residentes - Otras ganancias de capital distintas de enajenación de derechos representativos de capital </t>
  </si>
  <si>
    <t>5, 25, 37</t>
  </si>
  <si>
    <t>Pago a no residentes - Servicios profesionales independientes</t>
  </si>
  <si>
    <t>Pago a no residentes - Servicios profesionales dependientes</t>
  </si>
  <si>
    <t>Pago a no residentes- Artistas</t>
  </si>
  <si>
    <t>513A</t>
  </si>
  <si>
    <t>Pago a no residentes - Deportistas</t>
  </si>
  <si>
    <t>Pago a no residentes - Participación de consejeros</t>
  </si>
  <si>
    <t>Pago a no residentes - Entretenimiento Público</t>
  </si>
  <si>
    <t>Pago a no residentes - Pensiones</t>
  </si>
  <si>
    <t>Pago a no residentes- Reembolso de Gastos</t>
  </si>
  <si>
    <t>Pago a no residentes- Funciones Públicas</t>
  </si>
  <si>
    <t>Pago a no residentes - Estudiantes</t>
  </si>
  <si>
    <t>520A</t>
  </si>
  <si>
    <t>Pago a no residentes - Pago a proveedores de servicios hoteleros y turísticos en el exterior</t>
  </si>
  <si>
    <t>520B</t>
  </si>
  <si>
    <t>Pago a no residentes - Arrendamientos mercantil internacional</t>
  </si>
  <si>
    <t>0, 25, 37</t>
  </si>
  <si>
    <t>520D</t>
  </si>
  <si>
    <t>Pago a no residentes - Comisiones por exportaciones y por promoción de turismo receptivo</t>
  </si>
  <si>
    <t>520E</t>
  </si>
  <si>
    <t>Pago a no residentes - Por las empresas de transporte marítimo o aéreo y por empresas pesqueras de alta mar, por su actividad.</t>
  </si>
  <si>
    <t>520F</t>
  </si>
  <si>
    <t>Pago a no residentes - Por las agencias internacionales de prensa</t>
  </si>
  <si>
    <t>520G</t>
  </si>
  <si>
    <t>Pago a no residentes - Contratos de fletamento de naves para empresas de transporte aéreo o marítimo internacional</t>
  </si>
  <si>
    <t>Pago a no residentes - Enajenación de derechos representativos de capital u otros derechos que permitan la exploración, explotación, concesión o similares de sociedades</t>
  </si>
  <si>
    <t>1, 10</t>
  </si>
  <si>
    <t>523A</t>
  </si>
  <si>
    <t xml:space="preserve">Pago a no residentes - Seguros y reaseguros (primas y cesiones)  </t>
  </si>
  <si>
    <t>409,420,430</t>
  </si>
  <si>
    <t>Pago a no residentes- Donaciones en dinero -Impuesto a las donaciones</t>
  </si>
  <si>
    <t>CONSIDERAR:</t>
  </si>
  <si>
    <t>El monto mínimo para efectuar retenciones es de $50. De realizarse pagos a proveedores permanentes se efectuará la retención sin importar el monto (por permanente entiéndase dos o más compras en un mismo mes calendario).</t>
  </si>
  <si>
    <t>El comprobante de retención deberá ser entregado en un plazo de cinco días hábiles a partir de la emisión del comprobante de venta.</t>
  </si>
  <si>
    <t>No están sujetos a retención en la fuente del impuesto a la renta: Instituciones y Empresas del Sector Público, incluido el BID, CAF, CFN, ONU y Bco. Mundial; Instituciones de educación superior (legalmente reconocidas por el SENESCYT); Instituciones sin fines de lucro (legalmente constituidas); Misiones diplomáticas de países extranjeros; Pagos por concepto de reembolso de gastos, compra venta de divisas, transporte público de personas, ni en la compra de inmuebles o de combustibles; y los demás pagos para quienes dicho ingreso no constituya renta gravada.</t>
  </si>
  <si>
    <t>Para las transacciones efectuadas en el exterior se deberá considerar:  si existe convenio de doble tributación, sin convenio de doble tributación o a paraísos fiscales o regímenes fiscales preferentes</t>
  </si>
  <si>
    <t xml:space="preserve"> Para pagos a no residentes la tarifa general de retención prevista en la Ley es del 25%. Tratándose de pagos a personas residentes o establecidas en paraísos fiscales o jurisdicciones de menor imposición la tarifa es del 35%. En los casos en que por disposición legal o por aplicación de un convenio para evitar doble imposición se hubiese aplicado una tarifa diferente se deberá aplicar dicha tarifa.</t>
  </si>
  <si>
    <t>TARIFA 5%</t>
  </si>
  <si>
    <t>IVA 5%</t>
  </si>
  <si>
    <t>RESUMEN  Y REPOSICIÓN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</si>
</sst>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dd/mmm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9"/>
      <name val="Calibri"/>
      <family val="2"/>
    </font>
    <font>
      <b/>
      <sz val="10"/>
      <name val="Calibri"/>
      <family val="2"/>
      <scheme val="minor"/>
    </font>
    <font>
      <b/>
      <u val="double"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indexed="9"/>
      <name val="Calibri"/>
      <family val="2"/>
    </font>
    <font>
      <sz val="11"/>
      <color indexed="8"/>
      <name val="Arial"/>
      <family val="2"/>
      <charset val="1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2"/>
      <color indexed="8"/>
      <name val="Calibri"/>
      <family val="2"/>
    </font>
    <font>
      <sz val="10"/>
      <name val="Calibri"/>
      <family val="2"/>
    </font>
    <font>
      <b/>
      <sz val="11"/>
      <color indexed="10"/>
      <name val="Calibri"/>
      <family val="2"/>
    </font>
    <font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62"/>
        <bgColor indexed="56"/>
      </patternFill>
    </fill>
    <fill>
      <patternFill patternType="solid">
        <fgColor theme="4" tint="-0.249977111117893"/>
        <bgColor indexed="64"/>
      </patternFill>
    </fill>
  </fills>
  <borders count="46">
    <border>
      <left/>
      <right/>
      <top/>
      <bottom/>
      <diagonal/>
    </border>
    <border>
      <left/>
      <right style="thin">
        <color indexed="6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3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3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3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2" fillId="0" borderId="0"/>
    <xf numFmtId="164" fontId="2" fillId="0" borderId="0" applyFill="0" applyBorder="0" applyAlignment="0" applyProtection="0"/>
    <xf numFmtId="9" fontId="12" fillId="0" borderId="0" applyFont="0" applyFill="0" applyBorder="0" applyAlignment="0" applyProtection="0"/>
    <xf numFmtId="0" fontId="15" fillId="0" borderId="0"/>
  </cellStyleXfs>
  <cellXfs count="131">
    <xf numFmtId="0" fontId="0" fillId="0" borderId="0" xfId="0"/>
    <xf numFmtId="0" fontId="2" fillId="0" borderId="0" xfId="1"/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vertical="center"/>
    </xf>
    <xf numFmtId="0" fontId="5" fillId="2" borderId="5" xfId="1" applyFont="1" applyFill="1" applyBorder="1" applyAlignment="1">
      <alignment vertical="center"/>
    </xf>
    <xf numFmtId="0" fontId="6" fillId="2" borderId="0" xfId="1" applyFont="1" applyFill="1" applyAlignment="1">
      <alignment horizontal="left" vertical="center" wrapText="1"/>
    </xf>
    <xf numFmtId="0" fontId="9" fillId="0" borderId="0" xfId="0" applyFont="1"/>
    <xf numFmtId="0" fontId="0" fillId="0" borderId="8" xfId="0" applyBorder="1"/>
    <xf numFmtId="0" fontId="10" fillId="0" borderId="16" xfId="0" applyFont="1" applyBorder="1"/>
    <xf numFmtId="0" fontId="10" fillId="0" borderId="17" xfId="0" applyFont="1" applyBorder="1"/>
    <xf numFmtId="2" fontId="10" fillId="0" borderId="18" xfId="0" applyNumberFormat="1" applyFont="1" applyBorder="1"/>
    <xf numFmtId="0" fontId="10" fillId="0" borderId="3" xfId="0" applyFont="1" applyBorder="1"/>
    <xf numFmtId="0" fontId="10" fillId="0" borderId="2" xfId="0" applyFont="1" applyBorder="1"/>
    <xf numFmtId="2" fontId="10" fillId="0" borderId="4" xfId="0" applyNumberFormat="1" applyFont="1" applyBorder="1"/>
    <xf numFmtId="9" fontId="0" fillId="0" borderId="0" xfId="3" applyFont="1" applyAlignment="1">
      <alignment horizontal="center"/>
    </xf>
    <xf numFmtId="0" fontId="6" fillId="2" borderId="2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left" vertical="center" wrapText="1"/>
    </xf>
    <xf numFmtId="2" fontId="6" fillId="2" borderId="2" xfId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2" fontId="11" fillId="0" borderId="18" xfId="0" applyNumberFormat="1" applyFont="1" applyBorder="1"/>
    <xf numFmtId="2" fontId="11" fillId="0" borderId="4" xfId="0" applyNumberFormat="1" applyFont="1" applyBorder="1"/>
    <xf numFmtId="0" fontId="6" fillId="2" borderId="9" xfId="1" applyFont="1" applyFill="1" applyBorder="1" applyAlignment="1">
      <alignment horizontal="center" vertical="center" wrapText="1"/>
    </xf>
    <xf numFmtId="0" fontId="6" fillId="2" borderId="9" xfId="1" applyFont="1" applyFill="1" applyBorder="1" applyAlignment="1">
      <alignment horizontal="left" vertical="center" wrapText="1"/>
    </xf>
    <xf numFmtId="2" fontId="6" fillId="2" borderId="9" xfId="1" applyNumberFormat="1" applyFont="1" applyFill="1" applyBorder="1" applyAlignment="1">
      <alignment horizontal="center" vertical="center" wrapText="1"/>
    </xf>
    <xf numFmtId="2" fontId="6" fillId="2" borderId="27" xfId="1" applyNumberFormat="1" applyFont="1" applyFill="1" applyBorder="1" applyAlignment="1">
      <alignment horizontal="center" vertical="center" wrapText="1"/>
    </xf>
    <xf numFmtId="2" fontId="6" fillId="0" borderId="28" xfId="1" applyNumberFormat="1" applyFont="1" applyBorder="1" applyAlignment="1">
      <alignment vertical="center"/>
    </xf>
    <xf numFmtId="0" fontId="3" fillId="2" borderId="2" xfId="1" applyFont="1" applyFill="1" applyBorder="1" applyAlignment="1">
      <alignment horizontal="center" vertical="center" wrapText="1"/>
    </xf>
    <xf numFmtId="10" fontId="6" fillId="2" borderId="2" xfId="1" applyNumberFormat="1" applyFont="1" applyFill="1" applyBorder="1" applyAlignment="1">
      <alignment horizontal="center" vertical="center" wrapText="1"/>
    </xf>
    <xf numFmtId="10" fontId="6" fillId="2" borderId="9" xfId="1" applyNumberFormat="1" applyFont="1" applyFill="1" applyBorder="1" applyAlignment="1">
      <alignment horizontal="center" vertical="center" wrapText="1"/>
    </xf>
    <xf numFmtId="49" fontId="13" fillId="0" borderId="0" xfId="0" applyNumberFormat="1" applyFont="1" applyAlignment="1">
      <alignment horizontal="right"/>
    </xf>
    <xf numFmtId="9" fontId="13" fillId="0" borderId="0" xfId="0" applyNumberFormat="1" applyFont="1"/>
    <xf numFmtId="10" fontId="13" fillId="0" borderId="0" xfId="0" applyNumberFormat="1" applyFont="1"/>
    <xf numFmtId="0" fontId="4" fillId="2" borderId="32" xfId="1" applyFont="1" applyFill="1" applyBorder="1" applyAlignment="1">
      <alignment horizontal="center" vertical="center"/>
    </xf>
    <xf numFmtId="0" fontId="5" fillId="2" borderId="32" xfId="1" applyFont="1" applyFill="1" applyBorder="1" applyAlignment="1">
      <alignment vertical="center"/>
    </xf>
    <xf numFmtId="14" fontId="6" fillId="2" borderId="3" xfId="1" applyNumberFormat="1" applyFont="1" applyFill="1" applyBorder="1" applyAlignment="1">
      <alignment horizontal="center" vertical="center" wrapText="1"/>
    </xf>
    <xf numFmtId="14" fontId="6" fillId="2" borderId="33" xfId="1" applyNumberFormat="1" applyFont="1" applyFill="1" applyBorder="1" applyAlignment="1">
      <alignment horizontal="center" vertical="center" wrapText="1"/>
    </xf>
    <xf numFmtId="2" fontId="6" fillId="0" borderId="4" xfId="1" applyNumberFormat="1" applyFont="1" applyBorder="1" applyAlignment="1">
      <alignment vertical="center"/>
    </xf>
    <xf numFmtId="14" fontId="6" fillId="2" borderId="34" xfId="1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14" fillId="5" borderId="35" xfId="0" applyFont="1" applyFill="1" applyBorder="1" applyAlignment="1">
      <alignment horizontal="center" vertical="center" wrapText="1"/>
    </xf>
    <xf numFmtId="0" fontId="14" fillId="5" borderId="36" xfId="0" applyFont="1" applyFill="1" applyBorder="1" applyAlignment="1">
      <alignment horizontal="center" vertical="center" wrapText="1"/>
    </xf>
    <xf numFmtId="0" fontId="14" fillId="5" borderId="37" xfId="0" applyFont="1" applyFill="1" applyBorder="1" applyAlignment="1">
      <alignment horizontal="center" vertical="center" wrapText="1"/>
    </xf>
    <xf numFmtId="0" fontId="0" fillId="0" borderId="38" xfId="4" applyFont="1" applyBorder="1" applyAlignment="1">
      <alignment vertical="center" wrapText="1"/>
    </xf>
    <xf numFmtId="0" fontId="0" fillId="0" borderId="38" xfId="4" applyFont="1" applyBorder="1" applyAlignment="1">
      <alignment horizontal="center" vertical="center" wrapText="1"/>
    </xf>
    <xf numFmtId="0" fontId="0" fillId="0" borderId="39" xfId="4" applyFont="1" applyBorder="1" applyAlignment="1">
      <alignment vertical="center" wrapText="1"/>
    </xf>
    <xf numFmtId="0" fontId="0" fillId="0" borderId="39" xfId="4" applyFont="1" applyBorder="1" applyAlignment="1">
      <alignment horizontal="center" vertical="center" wrapText="1"/>
    </xf>
    <xf numFmtId="0" fontId="16" fillId="0" borderId="39" xfId="4" applyFont="1" applyBorder="1" applyAlignment="1">
      <alignment horizontal="center" vertical="center"/>
    </xf>
    <xf numFmtId="0" fontId="17" fillId="0" borderId="39" xfId="4" applyFont="1" applyBorder="1" applyAlignment="1">
      <alignment vertical="center" wrapText="1"/>
    </xf>
    <xf numFmtId="0" fontId="17" fillId="0" borderId="39" xfId="4" applyFont="1" applyBorder="1" applyAlignment="1">
      <alignment horizontal="center" vertical="center" wrapText="1"/>
    </xf>
    <xf numFmtId="0" fontId="18" fillId="0" borderId="39" xfId="4" applyFont="1" applyBorder="1" applyAlignment="1">
      <alignment horizontal="center" vertical="center" wrapText="1"/>
    </xf>
    <xf numFmtId="1" fontId="18" fillId="0" borderId="39" xfId="4" applyNumberFormat="1" applyFont="1" applyBorder="1" applyAlignment="1">
      <alignment horizontal="center" vertical="center" wrapText="1"/>
    </xf>
    <xf numFmtId="1" fontId="0" fillId="0" borderId="39" xfId="4" applyNumberFormat="1" applyFont="1" applyBorder="1" applyAlignment="1">
      <alignment horizontal="center" vertical="center" wrapText="1"/>
    </xf>
    <xf numFmtId="0" fontId="17" fillId="3" borderId="39" xfId="4" applyFont="1" applyFill="1" applyBorder="1" applyAlignment="1">
      <alignment vertical="center" wrapText="1"/>
    </xf>
    <xf numFmtId="1" fontId="17" fillId="0" borderId="39" xfId="4" applyNumberFormat="1" applyFont="1" applyBorder="1" applyAlignment="1">
      <alignment horizontal="center" vertical="center" wrapText="1"/>
    </xf>
    <xf numFmtId="165" fontId="18" fillId="0" borderId="39" xfId="4" applyNumberFormat="1" applyFont="1" applyBorder="1" applyAlignment="1">
      <alignment horizontal="center" vertical="center" wrapText="1"/>
    </xf>
    <xf numFmtId="0" fontId="18" fillId="0" borderId="39" xfId="4" applyFont="1" applyBorder="1" applyAlignment="1">
      <alignment vertical="center" wrapText="1"/>
    </xf>
    <xf numFmtId="10" fontId="18" fillId="0" borderId="39" xfId="4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8" fillId="3" borderId="39" xfId="4" applyFont="1" applyFill="1" applyBorder="1" applyAlignment="1">
      <alignment horizontal="center" vertical="center" wrapText="1"/>
    </xf>
    <xf numFmtId="3" fontId="0" fillId="0" borderId="39" xfId="4" applyNumberFormat="1" applyFont="1" applyBorder="1" applyAlignment="1">
      <alignment horizontal="center" vertical="center" wrapText="1"/>
    </xf>
    <xf numFmtId="3" fontId="18" fillId="0" borderId="39" xfId="4" applyNumberFormat="1" applyFont="1" applyBorder="1" applyAlignment="1">
      <alignment horizontal="center" vertical="center" wrapText="1"/>
    </xf>
    <xf numFmtId="3" fontId="18" fillId="3" borderId="39" xfId="4" applyNumberFormat="1" applyFont="1" applyFill="1" applyBorder="1" applyAlignment="1">
      <alignment horizontal="center" vertical="center" wrapText="1"/>
    </xf>
    <xf numFmtId="49" fontId="18" fillId="0" borderId="39" xfId="4" applyNumberFormat="1" applyFont="1" applyBorder="1" applyAlignment="1">
      <alignment horizontal="center" vertical="center" wrapText="1"/>
    </xf>
    <xf numFmtId="3" fontId="17" fillId="0" borderId="39" xfId="4" applyNumberFormat="1" applyFont="1" applyBorder="1" applyAlignment="1">
      <alignment horizontal="center" vertical="center" wrapText="1"/>
    </xf>
    <xf numFmtId="0" fontId="16" fillId="0" borderId="39" xfId="4" applyFont="1" applyBorder="1" applyAlignment="1">
      <alignment horizontal="center"/>
    </xf>
    <xf numFmtId="3" fontId="17" fillId="3" borderId="39" xfId="4" applyNumberFormat="1" applyFont="1" applyFill="1" applyBorder="1" applyAlignment="1">
      <alignment horizontal="center" vertical="center" wrapText="1"/>
    </xf>
    <xf numFmtId="0" fontId="21" fillId="4" borderId="0" xfId="0" applyFont="1" applyFill="1" applyAlignment="1">
      <alignment horizontal="left" vertical="center" wrapText="1"/>
    </xf>
    <xf numFmtId="0" fontId="20" fillId="4" borderId="0" xfId="0" applyFont="1" applyFill="1" applyAlignment="1">
      <alignment horizontal="left" vertical="center" wrapText="1"/>
    </xf>
    <xf numFmtId="0" fontId="0" fillId="4" borderId="40" xfId="0" applyFill="1" applyBorder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 wrapText="1"/>
    </xf>
    <xf numFmtId="9" fontId="0" fillId="0" borderId="38" xfId="4" applyNumberFormat="1" applyFont="1" applyBorder="1" applyAlignment="1">
      <alignment horizontal="center" vertical="center" wrapText="1"/>
    </xf>
    <xf numFmtId="9" fontId="0" fillId="0" borderId="39" xfId="4" applyNumberFormat="1" applyFont="1" applyBorder="1" applyAlignment="1">
      <alignment horizontal="center" vertical="center" wrapText="1"/>
    </xf>
    <xf numFmtId="10" fontId="17" fillId="0" borderId="39" xfId="4" applyNumberFormat="1" applyFont="1" applyBorder="1" applyAlignment="1">
      <alignment horizontal="center" vertical="center" wrapText="1"/>
    </xf>
    <xf numFmtId="9" fontId="17" fillId="0" borderId="39" xfId="4" applyNumberFormat="1" applyFont="1" applyBorder="1" applyAlignment="1">
      <alignment horizontal="center" vertical="center" wrapText="1"/>
    </xf>
    <xf numFmtId="9" fontId="18" fillId="0" borderId="39" xfId="4" applyNumberFormat="1" applyFont="1" applyBorder="1" applyAlignment="1">
      <alignment horizontal="center" vertical="center" wrapText="1"/>
    </xf>
    <xf numFmtId="14" fontId="3" fillId="2" borderId="34" xfId="1" applyNumberFormat="1" applyFont="1" applyFill="1" applyBorder="1" applyAlignment="1">
      <alignment vertical="center" wrapText="1"/>
    </xf>
    <xf numFmtId="14" fontId="3" fillId="2" borderId="23" xfId="1" applyNumberFormat="1" applyFont="1" applyFill="1" applyBorder="1" applyAlignment="1">
      <alignment vertical="center" wrapText="1"/>
    </xf>
    <xf numFmtId="14" fontId="3" fillId="2" borderId="2" xfId="1" applyNumberFormat="1" applyFont="1" applyFill="1" applyBorder="1" applyAlignment="1">
      <alignment vertical="center" wrapText="1"/>
    </xf>
    <xf numFmtId="0" fontId="0" fillId="2" borderId="0" xfId="0" applyFill="1"/>
    <xf numFmtId="49" fontId="13" fillId="2" borderId="0" xfId="0" applyNumberFormat="1" applyFont="1" applyFill="1" applyAlignment="1">
      <alignment horizontal="right"/>
    </xf>
    <xf numFmtId="9" fontId="13" fillId="2" borderId="0" xfId="0" applyNumberFormat="1" applyFont="1" applyFill="1"/>
    <xf numFmtId="0" fontId="13" fillId="2" borderId="0" xfId="0" applyFont="1" applyFill="1"/>
    <xf numFmtId="0" fontId="11" fillId="6" borderId="19" xfId="0" applyFont="1" applyFill="1" applyBorder="1"/>
    <xf numFmtId="0" fontId="11" fillId="6" borderId="20" xfId="0" applyFont="1" applyFill="1" applyBorder="1"/>
    <xf numFmtId="2" fontId="11" fillId="6" borderId="21" xfId="0" applyNumberFormat="1" applyFont="1" applyFill="1" applyBorder="1"/>
    <xf numFmtId="2" fontId="3" fillId="2" borderId="41" xfId="1" applyNumberFormat="1" applyFont="1" applyFill="1" applyBorder="1" applyAlignment="1">
      <alignment horizontal="center" vertical="center" wrapText="1"/>
    </xf>
    <xf numFmtId="2" fontId="6" fillId="2" borderId="41" xfId="1" applyNumberFormat="1" applyFont="1" applyFill="1" applyBorder="1" applyAlignment="1">
      <alignment vertical="center"/>
    </xf>
    <xf numFmtId="2" fontId="3" fillId="2" borderId="29" xfId="1" applyNumberFormat="1" applyFont="1" applyFill="1" applyBorder="1" applyAlignment="1">
      <alignment horizontal="center" vertical="center" wrapText="1"/>
    </xf>
    <xf numFmtId="2" fontId="6" fillId="0" borderId="42" xfId="1" applyNumberFormat="1" applyFont="1" applyBorder="1" applyAlignment="1">
      <alignment vertical="center"/>
    </xf>
    <xf numFmtId="2" fontId="7" fillId="6" borderId="43" xfId="1" applyNumberFormat="1" applyFont="1" applyFill="1" applyBorder="1" applyAlignment="1">
      <alignment vertical="center"/>
    </xf>
    <xf numFmtId="2" fontId="6" fillId="2" borderId="41" xfId="1" applyNumberFormat="1" applyFont="1" applyFill="1" applyBorder="1" applyAlignment="1">
      <alignment horizontal="center" vertical="center" wrapText="1"/>
    </xf>
    <xf numFmtId="2" fontId="6" fillId="2" borderId="27" xfId="1" applyNumberFormat="1" applyFont="1" applyFill="1" applyBorder="1" applyAlignment="1">
      <alignment horizontal="center" vertical="center"/>
    </xf>
    <xf numFmtId="2" fontId="6" fillId="2" borderId="6" xfId="1" applyNumberFormat="1" applyFont="1" applyFill="1" applyBorder="1" applyAlignment="1">
      <alignment horizontal="center" vertical="center"/>
    </xf>
    <xf numFmtId="0" fontId="3" fillId="2" borderId="9" xfId="1" applyFont="1" applyFill="1" applyBorder="1" applyAlignment="1">
      <alignment horizontal="center" vertical="center" wrapText="1"/>
    </xf>
    <xf numFmtId="0" fontId="11" fillId="0" borderId="44" xfId="0" applyFont="1" applyBorder="1"/>
    <xf numFmtId="0" fontId="10" fillId="0" borderId="10" xfId="0" applyFont="1" applyBorder="1"/>
    <xf numFmtId="0" fontId="11" fillId="0" borderId="10" xfId="0" applyFont="1" applyBorder="1"/>
    <xf numFmtId="2" fontId="6" fillId="2" borderId="45" xfId="1" applyNumberFormat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22" xfId="1" applyFont="1" applyFill="1" applyBorder="1" applyAlignment="1">
      <alignment horizontal="center" vertical="center" wrapText="1"/>
    </xf>
    <xf numFmtId="2" fontId="3" fillId="2" borderId="2" xfId="1" applyNumberFormat="1" applyFont="1" applyFill="1" applyBorder="1" applyAlignment="1">
      <alignment horizontal="center" vertical="center" wrapText="1"/>
    </xf>
    <xf numFmtId="0" fontId="4" fillId="2" borderId="31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13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2" borderId="4" xfId="1" applyFont="1" applyFill="1" applyBorder="1" applyAlignment="1">
      <alignment horizontal="center" vertical="center" wrapText="1"/>
    </xf>
    <xf numFmtId="14" fontId="3" fillId="2" borderId="29" xfId="1" applyNumberFormat="1" applyFont="1" applyFill="1" applyBorder="1" applyAlignment="1">
      <alignment horizontal="center" vertical="center" wrapText="1"/>
    </xf>
    <xf numFmtId="14" fontId="3" fillId="2" borderId="8" xfId="1" applyNumberFormat="1" applyFont="1" applyFill="1" applyBorder="1" applyAlignment="1">
      <alignment horizontal="center" vertical="center" wrapText="1"/>
    </xf>
    <xf numFmtId="14" fontId="3" fillId="2" borderId="30" xfId="1" applyNumberFormat="1" applyFont="1" applyFill="1" applyBorder="1" applyAlignment="1">
      <alignment horizontal="center" vertical="center" wrapText="1"/>
    </xf>
    <xf numFmtId="0" fontId="3" fillId="2" borderId="41" xfId="1" applyFont="1" applyFill="1" applyBorder="1" applyAlignment="1">
      <alignment horizontal="center" vertical="center" wrapText="1"/>
    </xf>
    <xf numFmtId="0" fontId="8" fillId="6" borderId="14" xfId="1" applyFont="1" applyFill="1" applyBorder="1" applyAlignment="1">
      <alignment horizontal="center" vertical="center"/>
    </xf>
    <xf numFmtId="0" fontId="8" fillId="6" borderId="15" xfId="1" applyFont="1" applyFill="1" applyBorder="1" applyAlignment="1">
      <alignment horizontal="center" vertical="center"/>
    </xf>
    <xf numFmtId="0" fontId="8" fillId="6" borderId="11" xfId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11" fillId="0" borderId="24" xfId="0" applyFont="1" applyBorder="1"/>
    <xf numFmtId="0" fontId="11" fillId="0" borderId="25" xfId="0" applyFont="1" applyBorder="1"/>
    <xf numFmtId="0" fontId="10" fillId="0" borderId="26" xfId="0" applyFont="1" applyBorder="1"/>
    <xf numFmtId="0" fontId="10" fillId="0" borderId="7" xfId="0" applyFont="1" applyBorder="1"/>
    <xf numFmtId="0" fontId="11" fillId="0" borderId="26" xfId="0" applyFont="1" applyBorder="1"/>
    <xf numFmtId="0" fontId="11" fillId="0" borderId="7" xfId="0" applyFont="1" applyBorder="1"/>
    <xf numFmtId="0" fontId="20" fillId="4" borderId="40" xfId="0" applyFont="1" applyFill="1" applyBorder="1" applyAlignment="1">
      <alignment horizontal="left" vertical="center" wrapText="1"/>
    </xf>
  </cellXfs>
  <cellStyles count="5">
    <cellStyle name="Millares 2" xfId="2" xr:uid="{00000000-0005-0000-0000-000000000000}"/>
    <cellStyle name="Normal" xfId="0" builtinId="0"/>
    <cellStyle name="Normal 2" xfId="1" xr:uid="{00000000-0005-0000-0000-000002000000}"/>
    <cellStyle name="Porcentaje" xfId="3" builtinId="5"/>
    <cellStyle name="TableStyleLight1" xfId="4" xr:uid="{00000000-0005-0000-0000-000004000000}"/>
  </cellStyles>
  <dxfs count="0"/>
  <tableStyles count="0" defaultTableStyle="TableStyleMedium2" defaultPivotStyle="PivotStyleLight16"/>
  <colors>
    <mruColors>
      <color rgb="FF33CCCC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438150</xdr:colOff>
      <xdr:row>0</xdr:row>
      <xdr:rowOff>0</xdr:rowOff>
    </xdr:from>
    <xdr:to>
      <xdr:col>18</xdr:col>
      <xdr:colOff>981075</xdr:colOff>
      <xdr:row>6</xdr:row>
      <xdr:rowOff>190500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350AE02-99AB-48F4-AD59-F29F5D0AB0DC}"/>
            </a:ext>
            <a:ext uri="{147F2762-F138-4A5C-976F-8EAC2B608ADB}">
              <a16:predDERef xmlns:a16="http://schemas.microsoft.com/office/drawing/2014/main" pred="{3167856E-E8D9-4869-8DCE-540AC3AD9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34875" y="0"/>
          <a:ext cx="2190750" cy="1352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32"/>
  <sheetViews>
    <sheetView showGridLines="0" tabSelected="1" workbookViewId="0">
      <selection activeCell="B1" sqref="B1"/>
    </sheetView>
  </sheetViews>
  <sheetFormatPr baseColWidth="10" defaultColWidth="11.44140625" defaultRowHeight="14.4" x14ac:dyDescent="0.3"/>
  <cols>
    <col min="2" max="2" width="11.88671875" customWidth="1"/>
    <col min="3" max="3" width="19.6640625" customWidth="1"/>
    <col min="4" max="4" width="24.6640625" customWidth="1"/>
    <col min="5" max="5" width="15.5546875" customWidth="1"/>
    <col min="6" max="9" width="9.44140625" customWidth="1"/>
    <col min="10" max="10" width="9" customWidth="1"/>
    <col min="12" max="12" width="16" customWidth="1"/>
    <col min="13" max="13" width="9.6640625" customWidth="1"/>
    <col min="14" max="14" width="10.5546875" customWidth="1"/>
    <col min="15" max="15" width="9.33203125" customWidth="1"/>
    <col min="16" max="16" width="10.33203125" customWidth="1"/>
    <col min="18" max="18" width="13.33203125" customWidth="1"/>
    <col min="19" max="19" width="15.33203125" customWidth="1"/>
  </cols>
  <sheetData>
    <row r="1" spans="1:37" ht="15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37" ht="15" thickBot="1" x14ac:dyDescent="0.35">
      <c r="A2" s="104" t="s">
        <v>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6"/>
    </row>
    <row r="3" spans="1:37" x14ac:dyDescent="0.3">
      <c r="A3" s="32"/>
      <c r="B3" s="2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8"/>
    </row>
    <row r="4" spans="1:37" x14ac:dyDescent="0.3">
      <c r="A4" s="33" t="s">
        <v>273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4"/>
    </row>
    <row r="5" spans="1:37" x14ac:dyDescent="0.3">
      <c r="A5" s="3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4"/>
    </row>
    <row r="6" spans="1:37" x14ac:dyDescent="0.3">
      <c r="A6" s="109" t="s">
        <v>1</v>
      </c>
      <c r="B6" s="110" t="s">
        <v>2</v>
      </c>
      <c r="C6" s="110" t="s">
        <v>3</v>
      </c>
      <c r="D6" s="110" t="s">
        <v>4</v>
      </c>
      <c r="E6" s="111" t="s">
        <v>5</v>
      </c>
      <c r="F6" s="112"/>
      <c r="G6" s="112"/>
      <c r="H6" s="112"/>
      <c r="I6" s="112"/>
      <c r="J6" s="113"/>
      <c r="K6" s="110" t="s">
        <v>6</v>
      </c>
      <c r="L6" s="110" t="s">
        <v>7</v>
      </c>
      <c r="M6" s="110"/>
      <c r="N6" s="110"/>
      <c r="O6" s="110"/>
      <c r="P6" s="110"/>
      <c r="Q6" s="111"/>
      <c r="R6" s="110" t="s">
        <v>8</v>
      </c>
      <c r="S6" s="115" t="s">
        <v>9</v>
      </c>
    </row>
    <row r="7" spans="1:37" ht="60" x14ac:dyDescent="0.3">
      <c r="A7" s="109"/>
      <c r="B7" s="110"/>
      <c r="C7" s="110"/>
      <c r="D7" s="110"/>
      <c r="E7" s="26" t="s">
        <v>10</v>
      </c>
      <c r="F7" s="26" t="s">
        <v>11</v>
      </c>
      <c r="G7" s="26" t="s">
        <v>271</v>
      </c>
      <c r="H7" s="26" t="s">
        <v>12</v>
      </c>
      <c r="I7" s="95" t="s">
        <v>272</v>
      </c>
      <c r="J7" s="95" t="s">
        <v>13</v>
      </c>
      <c r="K7" s="110"/>
      <c r="L7" s="26" t="s">
        <v>14</v>
      </c>
      <c r="M7" s="26" t="s">
        <v>15</v>
      </c>
      <c r="N7" s="26" t="s">
        <v>16</v>
      </c>
      <c r="O7" s="26" t="s">
        <v>17</v>
      </c>
      <c r="P7" s="26" t="s">
        <v>18</v>
      </c>
      <c r="Q7" s="26" t="s">
        <v>19</v>
      </c>
      <c r="R7" s="110"/>
      <c r="S7" s="115"/>
    </row>
    <row r="8" spans="1:37" ht="18" customHeight="1" x14ac:dyDescent="0.3">
      <c r="A8" s="34"/>
      <c r="B8" s="15"/>
      <c r="C8" s="16"/>
      <c r="D8" s="16"/>
      <c r="E8" s="16"/>
      <c r="F8" s="17"/>
      <c r="G8" s="93"/>
      <c r="H8" s="93"/>
      <c r="I8" s="92">
        <f>+G8*0.05</f>
        <v>0</v>
      </c>
      <c r="J8" s="99">
        <f>+H8*0.15</f>
        <v>0</v>
      </c>
      <c r="K8" s="103">
        <f>+J8+G8+F8+H8+I8+J8</f>
        <v>0</v>
      </c>
      <c r="L8" s="100"/>
      <c r="M8" s="15">
        <v>312</v>
      </c>
      <c r="N8" s="27">
        <f t="shared" ref="N8:N14" si="0">+VLOOKUP(M8,RENTA,3,FALSE)</f>
        <v>1.7500000000000002E-2</v>
      </c>
      <c r="O8" s="28">
        <v>1</v>
      </c>
      <c r="P8" s="23">
        <f>+(F8+G8)*N8</f>
        <v>0</v>
      </c>
      <c r="Q8" s="24">
        <f>+O8*J8</f>
        <v>0</v>
      </c>
      <c r="R8" s="17">
        <f>+Q8+P8</f>
        <v>0</v>
      </c>
      <c r="S8" s="25">
        <f>+K8-R8</f>
        <v>0</v>
      </c>
    </row>
    <row r="9" spans="1:37" ht="18.75" customHeight="1" x14ac:dyDescent="0.3">
      <c r="A9" s="35"/>
      <c r="B9" s="21"/>
      <c r="C9" s="22"/>
      <c r="D9" s="22"/>
      <c r="E9" s="22"/>
      <c r="F9" s="23"/>
      <c r="G9" s="94"/>
      <c r="H9" s="94"/>
      <c r="I9" s="92">
        <f t="shared" ref="I9:I14" si="1">+G9*0.05</f>
        <v>0</v>
      </c>
      <c r="J9" s="99">
        <f t="shared" ref="J9:J14" si="2">+H9*0.15</f>
        <v>0</v>
      </c>
      <c r="K9" s="103">
        <f t="shared" ref="K9:K14" si="3">+J9+G9+F9+H9+I9+J9</f>
        <v>0</v>
      </c>
      <c r="L9" s="101"/>
      <c r="M9" s="15">
        <v>346</v>
      </c>
      <c r="N9" s="27">
        <f t="shared" si="0"/>
        <v>1.7500000000000002E-2</v>
      </c>
      <c r="O9" s="28"/>
      <c r="P9" s="23">
        <f t="shared" ref="P9:P14" si="4">+(F9+G9)*N9</f>
        <v>0</v>
      </c>
      <c r="Q9" s="24">
        <f t="shared" ref="Q9:Q14" si="5">+O9*J9</f>
        <v>0</v>
      </c>
      <c r="R9" s="17">
        <f>+Q9+P9</f>
        <v>0</v>
      </c>
      <c r="S9" s="36">
        <f t="shared" ref="S9:S14" si="6">+K9-R9</f>
        <v>0</v>
      </c>
      <c r="AJ9" s="29">
        <v>303</v>
      </c>
      <c r="AK9" s="30">
        <v>0.01</v>
      </c>
    </row>
    <row r="10" spans="1:37" ht="14.25" customHeight="1" x14ac:dyDescent="0.3">
      <c r="A10" s="34"/>
      <c r="B10" s="15"/>
      <c r="C10" s="16"/>
      <c r="D10" s="16"/>
      <c r="E10" s="16"/>
      <c r="F10" s="17"/>
      <c r="G10" s="94"/>
      <c r="H10" s="94"/>
      <c r="I10" s="92">
        <f t="shared" si="1"/>
        <v>0</v>
      </c>
      <c r="J10" s="99">
        <f t="shared" si="2"/>
        <v>0</v>
      </c>
      <c r="K10" s="103">
        <f t="shared" si="3"/>
        <v>0</v>
      </c>
      <c r="L10" s="101"/>
      <c r="M10" s="15">
        <v>346</v>
      </c>
      <c r="N10" s="27">
        <f t="shared" si="0"/>
        <v>1.7500000000000002E-2</v>
      </c>
      <c r="O10" s="28"/>
      <c r="P10" s="23">
        <f t="shared" si="4"/>
        <v>0</v>
      </c>
      <c r="Q10" s="24">
        <f t="shared" si="5"/>
        <v>0</v>
      </c>
      <c r="R10" s="17">
        <f t="shared" ref="R10:R12" si="7">+Q10+P10</f>
        <v>0</v>
      </c>
      <c r="S10" s="36">
        <f t="shared" si="6"/>
        <v>0</v>
      </c>
      <c r="AJ10" s="29" t="s">
        <v>20</v>
      </c>
      <c r="AK10" s="31">
        <v>1.7500000000000002E-2</v>
      </c>
    </row>
    <row r="11" spans="1:37" ht="14.25" customHeight="1" x14ac:dyDescent="0.3">
      <c r="A11" s="34"/>
      <c r="B11" s="15"/>
      <c r="C11" s="16"/>
      <c r="D11" s="16"/>
      <c r="E11" s="16"/>
      <c r="F11" s="17"/>
      <c r="G11" s="94"/>
      <c r="H11" s="94"/>
      <c r="I11" s="92">
        <f t="shared" si="1"/>
        <v>0</v>
      </c>
      <c r="J11" s="99">
        <f t="shared" si="2"/>
        <v>0</v>
      </c>
      <c r="K11" s="103">
        <f t="shared" si="3"/>
        <v>0</v>
      </c>
      <c r="L11" s="101"/>
      <c r="M11" s="15">
        <v>346</v>
      </c>
      <c r="N11" s="27">
        <f t="shared" si="0"/>
        <v>1.7500000000000002E-2</v>
      </c>
      <c r="O11" s="28"/>
      <c r="P11" s="23">
        <f t="shared" si="4"/>
        <v>0</v>
      </c>
      <c r="Q11" s="24">
        <f t="shared" si="5"/>
        <v>0</v>
      </c>
      <c r="R11" s="17">
        <f t="shared" si="7"/>
        <v>0</v>
      </c>
      <c r="S11" s="36">
        <f t="shared" si="6"/>
        <v>0</v>
      </c>
      <c r="AJ11" s="29">
        <v>307</v>
      </c>
      <c r="AK11" s="30">
        <v>0.02</v>
      </c>
    </row>
    <row r="12" spans="1:37" x14ac:dyDescent="0.3">
      <c r="A12" s="34"/>
      <c r="B12" s="15"/>
      <c r="C12" s="16"/>
      <c r="D12" s="16"/>
      <c r="E12" s="16"/>
      <c r="F12" s="17"/>
      <c r="G12" s="94"/>
      <c r="H12" s="94"/>
      <c r="I12" s="92">
        <f t="shared" si="1"/>
        <v>0</v>
      </c>
      <c r="J12" s="99">
        <f t="shared" si="2"/>
        <v>0</v>
      </c>
      <c r="K12" s="103">
        <f t="shared" si="3"/>
        <v>0</v>
      </c>
      <c r="L12" s="101"/>
      <c r="M12" s="15">
        <v>346</v>
      </c>
      <c r="N12" s="27">
        <f t="shared" si="0"/>
        <v>1.7500000000000002E-2</v>
      </c>
      <c r="O12" s="28"/>
      <c r="P12" s="23">
        <f t="shared" si="4"/>
        <v>0</v>
      </c>
      <c r="Q12" s="24">
        <f t="shared" si="5"/>
        <v>0</v>
      </c>
      <c r="R12" s="17">
        <f t="shared" si="7"/>
        <v>0</v>
      </c>
      <c r="S12" s="36">
        <f t="shared" si="6"/>
        <v>0</v>
      </c>
      <c r="AJ12" s="29">
        <v>309</v>
      </c>
      <c r="AK12" s="31">
        <v>2.75E-2</v>
      </c>
    </row>
    <row r="13" spans="1:37" x14ac:dyDescent="0.3">
      <c r="A13" s="37"/>
      <c r="B13" s="15"/>
      <c r="C13" s="16"/>
      <c r="D13" s="16"/>
      <c r="E13" s="16"/>
      <c r="F13" s="17"/>
      <c r="G13" s="94"/>
      <c r="H13" s="94"/>
      <c r="I13" s="92">
        <f t="shared" si="1"/>
        <v>0</v>
      </c>
      <c r="J13" s="99">
        <f t="shared" si="2"/>
        <v>0</v>
      </c>
      <c r="K13" s="103">
        <f t="shared" si="3"/>
        <v>0</v>
      </c>
      <c r="L13" s="101"/>
      <c r="M13" s="15">
        <v>346</v>
      </c>
      <c r="N13" s="27">
        <f t="shared" si="0"/>
        <v>1.7500000000000002E-2</v>
      </c>
      <c r="O13" s="28"/>
      <c r="P13" s="23">
        <f t="shared" si="4"/>
        <v>0</v>
      </c>
      <c r="Q13" s="24">
        <f t="shared" si="5"/>
        <v>0</v>
      </c>
      <c r="R13" s="17">
        <f t="shared" ref="R13:R14" si="8">+Q13+P13</f>
        <v>0</v>
      </c>
      <c r="S13" s="36">
        <f t="shared" si="6"/>
        <v>0</v>
      </c>
      <c r="AJ13" s="29">
        <v>310</v>
      </c>
      <c r="AK13" s="30">
        <v>0.08</v>
      </c>
    </row>
    <row r="14" spans="1:37" x14ac:dyDescent="0.3">
      <c r="A14" s="37"/>
      <c r="B14" s="15"/>
      <c r="C14" s="16"/>
      <c r="D14" s="16"/>
      <c r="E14" s="16"/>
      <c r="F14" s="17"/>
      <c r="G14" s="94"/>
      <c r="H14" s="94"/>
      <c r="I14" s="92">
        <f t="shared" si="1"/>
        <v>0</v>
      </c>
      <c r="J14" s="99">
        <f t="shared" si="2"/>
        <v>0</v>
      </c>
      <c r="K14" s="103">
        <f t="shared" si="3"/>
        <v>0</v>
      </c>
      <c r="L14" s="102"/>
      <c r="M14" s="21">
        <v>346</v>
      </c>
      <c r="N14" s="28">
        <f t="shared" si="0"/>
        <v>1.7500000000000002E-2</v>
      </c>
      <c r="O14" s="28"/>
      <c r="P14" s="23">
        <f t="shared" si="4"/>
        <v>0</v>
      </c>
      <c r="Q14" s="24">
        <f t="shared" si="5"/>
        <v>0</v>
      </c>
      <c r="R14" s="23">
        <f t="shared" si="8"/>
        <v>0</v>
      </c>
      <c r="S14" s="90">
        <f t="shared" si="6"/>
        <v>0</v>
      </c>
      <c r="AJ14" s="29">
        <v>312</v>
      </c>
      <c r="AK14" s="30">
        <v>0.25</v>
      </c>
    </row>
    <row r="15" spans="1:37" s="80" customFormat="1" x14ac:dyDescent="0.3">
      <c r="A15" s="77"/>
      <c r="B15" s="78"/>
      <c r="C15" s="79"/>
      <c r="D15" s="78"/>
      <c r="E15" s="116" t="s">
        <v>21</v>
      </c>
      <c r="F15" s="117"/>
      <c r="G15" s="117"/>
      <c r="H15" s="117"/>
      <c r="I15" s="117"/>
      <c r="J15" s="118"/>
      <c r="K15" s="89">
        <f>SUM(K8:K12)</f>
        <v>0</v>
      </c>
      <c r="L15" s="119" t="s">
        <v>21</v>
      </c>
      <c r="M15" s="119"/>
      <c r="N15" s="119"/>
      <c r="O15" s="119"/>
      <c r="P15" s="119"/>
      <c r="Q15" s="119"/>
      <c r="R15" s="87">
        <f>SUM(R8:R12)</f>
        <v>0</v>
      </c>
      <c r="S15" s="88"/>
      <c r="AJ15" s="81">
        <v>343</v>
      </c>
      <c r="AK15" s="82">
        <v>0.1</v>
      </c>
    </row>
    <row r="16" spans="1:37" s="80" customFormat="1" ht="15" thickBot="1" x14ac:dyDescent="0.35">
      <c r="A16" s="120" t="s">
        <v>22</v>
      </c>
      <c r="B16" s="121"/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2"/>
      <c r="S16" s="91">
        <f>SUM(S8:S12)</f>
        <v>0</v>
      </c>
      <c r="AJ16" s="81">
        <v>344</v>
      </c>
      <c r="AK16" s="83"/>
    </row>
    <row r="17" spans="1:37" x14ac:dyDescent="0.3">
      <c r="AJ17" s="29">
        <v>346</v>
      </c>
      <c r="AK17" s="30">
        <v>1</v>
      </c>
    </row>
    <row r="18" spans="1:37" ht="18.600000000000001" thickBot="1" x14ac:dyDescent="0.4">
      <c r="A18" s="6" t="s">
        <v>23</v>
      </c>
      <c r="D18" s="5"/>
    </row>
    <row r="19" spans="1:37" x14ac:dyDescent="0.3">
      <c r="A19" s="8" t="s">
        <v>24</v>
      </c>
      <c r="B19" s="9"/>
      <c r="C19" s="10">
        <v>200</v>
      </c>
      <c r="D19" s="18" t="s">
        <v>25</v>
      </c>
      <c r="F19" s="124" t="s">
        <v>26</v>
      </c>
      <c r="G19" s="125"/>
      <c r="H19" s="96"/>
      <c r="I19" s="96"/>
      <c r="J19" s="19">
        <v>400</v>
      </c>
    </row>
    <row r="20" spans="1:37" x14ac:dyDescent="0.3">
      <c r="A20" s="11" t="s">
        <v>27</v>
      </c>
      <c r="B20" s="12"/>
      <c r="C20" s="13">
        <f>+S16</f>
        <v>0</v>
      </c>
      <c r="D20" s="14">
        <f>+C20/C19</f>
        <v>0</v>
      </c>
      <c r="F20" s="126" t="s">
        <v>28</v>
      </c>
      <c r="G20" s="127"/>
      <c r="H20" s="97"/>
      <c r="I20" s="97"/>
      <c r="J20" s="13">
        <f>+X16</f>
        <v>0</v>
      </c>
    </row>
    <row r="21" spans="1:37" x14ac:dyDescent="0.3">
      <c r="A21" s="11" t="s">
        <v>29</v>
      </c>
      <c r="B21" s="12"/>
      <c r="C21" s="13">
        <f>+C19-C20</f>
        <v>200</v>
      </c>
      <c r="F21" s="126" t="s">
        <v>30</v>
      </c>
      <c r="G21" s="127"/>
      <c r="H21" s="97"/>
      <c r="I21" s="97"/>
      <c r="J21" s="13">
        <f>+K15</f>
        <v>0</v>
      </c>
    </row>
    <row r="22" spans="1:37" x14ac:dyDescent="0.3">
      <c r="A22" s="84" t="s">
        <v>31</v>
      </c>
      <c r="B22" s="85"/>
      <c r="C22" s="86">
        <f>+C19-C21</f>
        <v>0</v>
      </c>
      <c r="F22" s="128" t="s">
        <v>32</v>
      </c>
      <c r="G22" s="129"/>
      <c r="H22" s="98"/>
      <c r="I22" s="98"/>
      <c r="J22" s="20">
        <f>+J19-J21</f>
        <v>400</v>
      </c>
    </row>
    <row r="29" spans="1:37" x14ac:dyDescent="0.3">
      <c r="E29" t="s">
        <v>33</v>
      </c>
      <c r="L29" t="s">
        <v>34</v>
      </c>
    </row>
    <row r="30" spans="1:37" x14ac:dyDescent="0.3">
      <c r="F30" s="7"/>
      <c r="G30" s="7"/>
      <c r="H30" s="7"/>
      <c r="I30" s="7"/>
      <c r="J30" s="7"/>
      <c r="P30" s="7"/>
      <c r="Q30" s="7"/>
      <c r="R30" s="7"/>
    </row>
    <row r="31" spans="1:37" x14ac:dyDescent="0.3">
      <c r="F31" s="123" t="s">
        <v>35</v>
      </c>
      <c r="G31" s="123"/>
      <c r="H31" s="123"/>
      <c r="I31" s="123"/>
      <c r="J31" s="123"/>
      <c r="P31" s="123" t="s">
        <v>35</v>
      </c>
      <c r="Q31" s="123"/>
      <c r="R31" s="123"/>
    </row>
    <row r="32" spans="1:37" x14ac:dyDescent="0.3">
      <c r="F32" s="114" t="s">
        <v>36</v>
      </c>
      <c r="G32" s="114"/>
      <c r="H32" s="114"/>
      <c r="I32" s="114"/>
      <c r="J32" s="114"/>
      <c r="P32" s="114" t="s">
        <v>37</v>
      </c>
      <c r="Q32" s="114"/>
      <c r="R32" s="114"/>
    </row>
  </sheetData>
  <mergeCells count="22">
    <mergeCell ref="F32:J32"/>
    <mergeCell ref="P32:R32"/>
    <mergeCell ref="S6:S7"/>
    <mergeCell ref="E15:J15"/>
    <mergeCell ref="L15:Q15"/>
    <mergeCell ref="A16:R16"/>
    <mergeCell ref="F31:J31"/>
    <mergeCell ref="P31:R31"/>
    <mergeCell ref="F19:G19"/>
    <mergeCell ref="F20:G20"/>
    <mergeCell ref="F21:G21"/>
    <mergeCell ref="F22:G22"/>
    <mergeCell ref="A2:S2"/>
    <mergeCell ref="C3:S3"/>
    <mergeCell ref="A6:A7"/>
    <mergeCell ref="B6:B7"/>
    <mergeCell ref="C6:C7"/>
    <mergeCell ref="D6:D7"/>
    <mergeCell ref="E6:J6"/>
    <mergeCell ref="K6:K7"/>
    <mergeCell ref="L6:Q6"/>
    <mergeCell ref="R6:R7"/>
  </mergeCells>
  <dataValidations count="1">
    <dataValidation type="list" allowBlank="1" showInputMessage="1" showErrorMessage="1" sqref="O8:O14" xr:uid="{00000000-0002-0000-0000-000000000000}">
      <formula1>$AK$16:$AK$17</formula1>
    </dataValidation>
  </dataValidations>
  <pageMargins left="0.7" right="0.7" top="0.75" bottom="0.75" header="0.3" footer="0.3"/>
  <pageSetup paperSize="9" scale="69" fitToHeight="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'PROYECCION DE GASTO'!$A$2:$A$126</xm:f>
          </x14:formula1>
          <xm:sqref>M8:M14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VM180"/>
  <sheetViews>
    <sheetView workbookViewId="0">
      <selection activeCell="B7" sqref="B7"/>
    </sheetView>
  </sheetViews>
  <sheetFormatPr baseColWidth="10" defaultColWidth="0" defaultRowHeight="14.4" zeroHeight="1" x14ac:dyDescent="0.3"/>
  <cols>
    <col min="1" max="1" width="13.6640625" style="38" customWidth="1"/>
    <col min="2" max="2" width="100.6640625" style="38" customWidth="1"/>
    <col min="3" max="3" width="25.6640625" style="38" customWidth="1"/>
    <col min="4" max="4" width="14" style="38" customWidth="1"/>
    <col min="5" max="5" width="9.44140625" style="39" customWidth="1"/>
    <col min="6" max="7" width="0" style="38" hidden="1"/>
    <col min="8" max="255" width="11.5546875" style="38" hidden="1"/>
    <col min="256" max="256" width="1.33203125" style="38" customWidth="1"/>
    <col min="257" max="257" width="100.6640625" style="38" customWidth="1"/>
    <col min="258" max="258" width="25.6640625" style="38" customWidth="1"/>
    <col min="259" max="259" width="14" style="38" customWidth="1"/>
    <col min="260" max="260" width="13.6640625" style="38" customWidth="1"/>
    <col min="261" max="261" width="9.44140625" style="38" customWidth="1"/>
    <col min="262" max="511" width="11.5546875" style="38" hidden="1"/>
    <col min="512" max="512" width="1.33203125" style="38" customWidth="1"/>
    <col min="513" max="513" width="100.6640625" style="38" customWidth="1"/>
    <col min="514" max="514" width="25.6640625" style="38" customWidth="1"/>
    <col min="515" max="515" width="14" style="38" customWidth="1"/>
    <col min="516" max="516" width="13.6640625" style="38" customWidth="1"/>
    <col min="517" max="517" width="9.44140625" style="38" customWidth="1"/>
    <col min="518" max="767" width="11.5546875" style="38" hidden="1"/>
    <col min="768" max="768" width="1.33203125" style="38" customWidth="1"/>
    <col min="769" max="769" width="100.6640625" style="38" customWidth="1"/>
    <col min="770" max="770" width="25.6640625" style="38" customWidth="1"/>
    <col min="771" max="771" width="14" style="38" customWidth="1"/>
    <col min="772" max="772" width="13.6640625" style="38" customWidth="1"/>
    <col min="773" max="773" width="9.44140625" style="38" customWidth="1"/>
    <col min="774" max="1023" width="11.5546875" style="38" hidden="1"/>
    <col min="1024" max="1024" width="1.33203125" style="38" customWidth="1"/>
    <col min="1025" max="1025" width="100.6640625" style="38" customWidth="1"/>
    <col min="1026" max="1026" width="25.6640625" style="38" customWidth="1"/>
    <col min="1027" max="1027" width="14" style="38" customWidth="1"/>
    <col min="1028" max="1028" width="13.6640625" style="38" customWidth="1"/>
    <col min="1029" max="1029" width="9.44140625" style="38" customWidth="1"/>
    <col min="1030" max="1279" width="11.5546875" style="38" hidden="1"/>
    <col min="1280" max="1280" width="1.33203125" style="38" customWidth="1"/>
    <col min="1281" max="1281" width="100.6640625" style="38" customWidth="1"/>
    <col min="1282" max="1282" width="25.6640625" style="38" customWidth="1"/>
    <col min="1283" max="1283" width="14" style="38" customWidth="1"/>
    <col min="1284" max="1284" width="13.6640625" style="38" customWidth="1"/>
    <col min="1285" max="1285" width="9.44140625" style="38" customWidth="1"/>
    <col min="1286" max="1535" width="11.5546875" style="38" hidden="1"/>
    <col min="1536" max="1536" width="1.33203125" style="38" customWidth="1"/>
    <col min="1537" max="1537" width="100.6640625" style="38" customWidth="1"/>
    <col min="1538" max="1538" width="25.6640625" style="38" customWidth="1"/>
    <col min="1539" max="1539" width="14" style="38" customWidth="1"/>
    <col min="1540" max="1540" width="13.6640625" style="38" customWidth="1"/>
    <col min="1541" max="1541" width="9.44140625" style="38" customWidth="1"/>
    <col min="1542" max="1791" width="11.5546875" style="38" hidden="1"/>
    <col min="1792" max="1792" width="1.33203125" style="38" customWidth="1"/>
    <col min="1793" max="1793" width="100.6640625" style="38" customWidth="1"/>
    <col min="1794" max="1794" width="25.6640625" style="38" customWidth="1"/>
    <col min="1795" max="1795" width="14" style="38" customWidth="1"/>
    <col min="1796" max="1796" width="13.6640625" style="38" customWidth="1"/>
    <col min="1797" max="1797" width="9.44140625" style="38" customWidth="1"/>
    <col min="1798" max="2047" width="11.5546875" style="38" hidden="1"/>
    <col min="2048" max="2048" width="1.33203125" style="38" customWidth="1"/>
    <col min="2049" max="2049" width="100.6640625" style="38" customWidth="1"/>
    <col min="2050" max="2050" width="25.6640625" style="38" customWidth="1"/>
    <col min="2051" max="2051" width="14" style="38" customWidth="1"/>
    <col min="2052" max="2052" width="13.6640625" style="38" customWidth="1"/>
    <col min="2053" max="2053" width="9.44140625" style="38" customWidth="1"/>
    <col min="2054" max="2303" width="11.5546875" style="38" hidden="1"/>
    <col min="2304" max="2304" width="1.33203125" style="38" customWidth="1"/>
    <col min="2305" max="2305" width="100.6640625" style="38" customWidth="1"/>
    <col min="2306" max="2306" width="25.6640625" style="38" customWidth="1"/>
    <col min="2307" max="2307" width="14" style="38" customWidth="1"/>
    <col min="2308" max="2308" width="13.6640625" style="38" customWidth="1"/>
    <col min="2309" max="2309" width="9.44140625" style="38" customWidth="1"/>
    <col min="2310" max="2559" width="11.5546875" style="38" hidden="1"/>
    <col min="2560" max="2560" width="1.33203125" style="38" customWidth="1"/>
    <col min="2561" max="2561" width="100.6640625" style="38" customWidth="1"/>
    <col min="2562" max="2562" width="25.6640625" style="38" customWidth="1"/>
    <col min="2563" max="2563" width="14" style="38" customWidth="1"/>
    <col min="2564" max="2564" width="13.6640625" style="38" customWidth="1"/>
    <col min="2565" max="2565" width="9.44140625" style="38" customWidth="1"/>
    <col min="2566" max="2815" width="11.5546875" style="38" hidden="1"/>
    <col min="2816" max="2816" width="1.33203125" style="38" customWidth="1"/>
    <col min="2817" max="2817" width="100.6640625" style="38" customWidth="1"/>
    <col min="2818" max="2818" width="25.6640625" style="38" customWidth="1"/>
    <col min="2819" max="2819" width="14" style="38" customWidth="1"/>
    <col min="2820" max="2820" width="13.6640625" style="38" customWidth="1"/>
    <col min="2821" max="2821" width="9.44140625" style="38" customWidth="1"/>
    <col min="2822" max="3071" width="11.5546875" style="38" hidden="1"/>
    <col min="3072" max="3072" width="1.33203125" style="38" customWidth="1"/>
    <col min="3073" max="3073" width="100.6640625" style="38" customWidth="1"/>
    <col min="3074" max="3074" width="25.6640625" style="38" customWidth="1"/>
    <col min="3075" max="3075" width="14" style="38" customWidth="1"/>
    <col min="3076" max="3076" width="13.6640625" style="38" customWidth="1"/>
    <col min="3077" max="3077" width="9.44140625" style="38" customWidth="1"/>
    <col min="3078" max="3327" width="11.5546875" style="38" hidden="1"/>
    <col min="3328" max="3328" width="1.33203125" style="38" customWidth="1"/>
    <col min="3329" max="3329" width="100.6640625" style="38" customWidth="1"/>
    <col min="3330" max="3330" width="25.6640625" style="38" customWidth="1"/>
    <col min="3331" max="3331" width="14" style="38" customWidth="1"/>
    <col min="3332" max="3332" width="13.6640625" style="38" customWidth="1"/>
    <col min="3333" max="3333" width="9.44140625" style="38" customWidth="1"/>
    <col min="3334" max="3583" width="11.5546875" style="38" hidden="1"/>
    <col min="3584" max="3584" width="1.33203125" style="38" customWidth="1"/>
    <col min="3585" max="3585" width="100.6640625" style="38" customWidth="1"/>
    <col min="3586" max="3586" width="25.6640625" style="38" customWidth="1"/>
    <col min="3587" max="3587" width="14" style="38" customWidth="1"/>
    <col min="3588" max="3588" width="13.6640625" style="38" customWidth="1"/>
    <col min="3589" max="3589" width="9.44140625" style="38" customWidth="1"/>
    <col min="3590" max="3839" width="11.5546875" style="38" hidden="1"/>
    <col min="3840" max="3840" width="1.33203125" style="38" customWidth="1"/>
    <col min="3841" max="3841" width="100.6640625" style="38" customWidth="1"/>
    <col min="3842" max="3842" width="25.6640625" style="38" customWidth="1"/>
    <col min="3843" max="3843" width="14" style="38" customWidth="1"/>
    <col min="3844" max="3844" width="13.6640625" style="38" customWidth="1"/>
    <col min="3845" max="3845" width="9.44140625" style="38" customWidth="1"/>
    <col min="3846" max="4095" width="11.5546875" style="38" hidden="1"/>
    <col min="4096" max="4096" width="1.33203125" style="38" customWidth="1"/>
    <col min="4097" max="4097" width="100.6640625" style="38" customWidth="1"/>
    <col min="4098" max="4098" width="25.6640625" style="38" customWidth="1"/>
    <col min="4099" max="4099" width="14" style="38" customWidth="1"/>
    <col min="4100" max="4100" width="13.6640625" style="38" customWidth="1"/>
    <col min="4101" max="4101" width="9.44140625" style="38" customWidth="1"/>
    <col min="4102" max="4351" width="11.5546875" style="38" hidden="1"/>
    <col min="4352" max="4352" width="1.33203125" style="38" customWidth="1"/>
    <col min="4353" max="4353" width="100.6640625" style="38" customWidth="1"/>
    <col min="4354" max="4354" width="25.6640625" style="38" customWidth="1"/>
    <col min="4355" max="4355" width="14" style="38" customWidth="1"/>
    <col min="4356" max="4356" width="13.6640625" style="38" customWidth="1"/>
    <col min="4357" max="4357" width="9.44140625" style="38" customWidth="1"/>
    <col min="4358" max="4607" width="11.5546875" style="38" hidden="1"/>
    <col min="4608" max="4608" width="1.33203125" style="38" customWidth="1"/>
    <col min="4609" max="4609" width="100.6640625" style="38" customWidth="1"/>
    <col min="4610" max="4610" width="25.6640625" style="38" customWidth="1"/>
    <col min="4611" max="4611" width="14" style="38" customWidth="1"/>
    <col min="4612" max="4612" width="13.6640625" style="38" customWidth="1"/>
    <col min="4613" max="4613" width="9.44140625" style="38" customWidth="1"/>
    <col min="4614" max="4863" width="11.5546875" style="38" hidden="1"/>
    <col min="4864" max="4864" width="1.33203125" style="38" customWidth="1"/>
    <col min="4865" max="4865" width="100.6640625" style="38" customWidth="1"/>
    <col min="4866" max="4866" width="25.6640625" style="38" customWidth="1"/>
    <col min="4867" max="4867" width="14" style="38" customWidth="1"/>
    <col min="4868" max="4868" width="13.6640625" style="38" customWidth="1"/>
    <col min="4869" max="4869" width="9.44140625" style="38" customWidth="1"/>
    <col min="4870" max="5119" width="11.5546875" style="38" hidden="1"/>
    <col min="5120" max="5120" width="1.33203125" style="38" customWidth="1"/>
    <col min="5121" max="5121" width="100.6640625" style="38" customWidth="1"/>
    <col min="5122" max="5122" width="25.6640625" style="38" customWidth="1"/>
    <col min="5123" max="5123" width="14" style="38" customWidth="1"/>
    <col min="5124" max="5124" width="13.6640625" style="38" customWidth="1"/>
    <col min="5125" max="5125" width="9.44140625" style="38" customWidth="1"/>
    <col min="5126" max="5375" width="11.5546875" style="38" hidden="1"/>
    <col min="5376" max="5376" width="1.33203125" style="38" customWidth="1"/>
    <col min="5377" max="5377" width="100.6640625" style="38" customWidth="1"/>
    <col min="5378" max="5378" width="25.6640625" style="38" customWidth="1"/>
    <col min="5379" max="5379" width="14" style="38" customWidth="1"/>
    <col min="5380" max="5380" width="13.6640625" style="38" customWidth="1"/>
    <col min="5381" max="5381" width="9.44140625" style="38" customWidth="1"/>
    <col min="5382" max="5631" width="11.5546875" style="38" hidden="1"/>
    <col min="5632" max="5632" width="1.33203125" style="38" customWidth="1"/>
    <col min="5633" max="5633" width="100.6640625" style="38" customWidth="1"/>
    <col min="5634" max="5634" width="25.6640625" style="38" customWidth="1"/>
    <col min="5635" max="5635" width="14" style="38" customWidth="1"/>
    <col min="5636" max="5636" width="13.6640625" style="38" customWidth="1"/>
    <col min="5637" max="5637" width="9.44140625" style="38" customWidth="1"/>
    <col min="5638" max="5887" width="11.5546875" style="38" hidden="1"/>
    <col min="5888" max="5888" width="1.33203125" style="38" customWidth="1"/>
    <col min="5889" max="5889" width="100.6640625" style="38" customWidth="1"/>
    <col min="5890" max="5890" width="25.6640625" style="38" customWidth="1"/>
    <col min="5891" max="5891" width="14" style="38" customWidth="1"/>
    <col min="5892" max="5892" width="13.6640625" style="38" customWidth="1"/>
    <col min="5893" max="5893" width="9.44140625" style="38" customWidth="1"/>
    <col min="5894" max="6143" width="11.5546875" style="38" hidden="1"/>
    <col min="6144" max="6144" width="1.33203125" style="38" customWidth="1"/>
    <col min="6145" max="6145" width="100.6640625" style="38" customWidth="1"/>
    <col min="6146" max="6146" width="25.6640625" style="38" customWidth="1"/>
    <col min="6147" max="6147" width="14" style="38" customWidth="1"/>
    <col min="6148" max="6148" width="13.6640625" style="38" customWidth="1"/>
    <col min="6149" max="6149" width="9.44140625" style="38" customWidth="1"/>
    <col min="6150" max="6399" width="11.5546875" style="38" hidden="1"/>
    <col min="6400" max="6400" width="1.33203125" style="38" customWidth="1"/>
    <col min="6401" max="6401" width="100.6640625" style="38" customWidth="1"/>
    <col min="6402" max="6402" width="25.6640625" style="38" customWidth="1"/>
    <col min="6403" max="6403" width="14" style="38" customWidth="1"/>
    <col min="6404" max="6404" width="13.6640625" style="38" customWidth="1"/>
    <col min="6405" max="6405" width="9.44140625" style="38" customWidth="1"/>
    <col min="6406" max="6655" width="11.5546875" style="38" hidden="1"/>
    <col min="6656" max="6656" width="1.33203125" style="38" customWidth="1"/>
    <col min="6657" max="6657" width="100.6640625" style="38" customWidth="1"/>
    <col min="6658" max="6658" width="25.6640625" style="38" customWidth="1"/>
    <col min="6659" max="6659" width="14" style="38" customWidth="1"/>
    <col min="6660" max="6660" width="13.6640625" style="38" customWidth="1"/>
    <col min="6661" max="6661" width="9.44140625" style="38" customWidth="1"/>
    <col min="6662" max="6911" width="11.5546875" style="38" hidden="1"/>
    <col min="6912" max="6912" width="1.33203125" style="38" customWidth="1"/>
    <col min="6913" max="6913" width="100.6640625" style="38" customWidth="1"/>
    <col min="6914" max="6914" width="25.6640625" style="38" customWidth="1"/>
    <col min="6915" max="6915" width="14" style="38" customWidth="1"/>
    <col min="6916" max="6916" width="13.6640625" style="38" customWidth="1"/>
    <col min="6917" max="6917" width="9.44140625" style="38" customWidth="1"/>
    <col min="6918" max="7167" width="11.5546875" style="38" hidden="1"/>
    <col min="7168" max="7168" width="1.33203125" style="38" customWidth="1"/>
    <col min="7169" max="7169" width="100.6640625" style="38" customWidth="1"/>
    <col min="7170" max="7170" width="25.6640625" style="38" customWidth="1"/>
    <col min="7171" max="7171" width="14" style="38" customWidth="1"/>
    <col min="7172" max="7172" width="13.6640625" style="38" customWidth="1"/>
    <col min="7173" max="7173" width="9.44140625" style="38" customWidth="1"/>
    <col min="7174" max="7423" width="11.5546875" style="38" hidden="1"/>
    <col min="7424" max="7424" width="1.33203125" style="38" customWidth="1"/>
    <col min="7425" max="7425" width="100.6640625" style="38" customWidth="1"/>
    <col min="7426" max="7426" width="25.6640625" style="38" customWidth="1"/>
    <col min="7427" max="7427" width="14" style="38" customWidth="1"/>
    <col min="7428" max="7428" width="13.6640625" style="38" customWidth="1"/>
    <col min="7429" max="7429" width="9.44140625" style="38" customWidth="1"/>
    <col min="7430" max="7679" width="11.5546875" style="38" hidden="1"/>
    <col min="7680" max="7680" width="1.33203125" style="38" customWidth="1"/>
    <col min="7681" max="7681" width="100.6640625" style="38" customWidth="1"/>
    <col min="7682" max="7682" width="25.6640625" style="38" customWidth="1"/>
    <col min="7683" max="7683" width="14" style="38" customWidth="1"/>
    <col min="7684" max="7684" width="13.6640625" style="38" customWidth="1"/>
    <col min="7685" max="7685" width="9.44140625" style="38" customWidth="1"/>
    <col min="7686" max="7935" width="11.5546875" style="38" hidden="1"/>
    <col min="7936" max="7936" width="1.33203125" style="38" customWidth="1"/>
    <col min="7937" max="7937" width="100.6640625" style="38" customWidth="1"/>
    <col min="7938" max="7938" width="25.6640625" style="38" customWidth="1"/>
    <col min="7939" max="7939" width="14" style="38" customWidth="1"/>
    <col min="7940" max="7940" width="13.6640625" style="38" customWidth="1"/>
    <col min="7941" max="7941" width="9.44140625" style="38" customWidth="1"/>
    <col min="7942" max="8191" width="11.5546875" style="38" hidden="1"/>
    <col min="8192" max="8192" width="1.33203125" style="38" customWidth="1"/>
    <col min="8193" max="8193" width="100.6640625" style="38" customWidth="1"/>
    <col min="8194" max="8194" width="25.6640625" style="38" customWidth="1"/>
    <col min="8195" max="8195" width="14" style="38" customWidth="1"/>
    <col min="8196" max="8196" width="13.6640625" style="38" customWidth="1"/>
    <col min="8197" max="8197" width="9.44140625" style="38" customWidth="1"/>
    <col min="8198" max="8447" width="11.5546875" style="38" hidden="1"/>
    <col min="8448" max="8448" width="1.33203125" style="38" customWidth="1"/>
    <col min="8449" max="8449" width="100.6640625" style="38" customWidth="1"/>
    <col min="8450" max="8450" width="25.6640625" style="38" customWidth="1"/>
    <col min="8451" max="8451" width="14" style="38" customWidth="1"/>
    <col min="8452" max="8452" width="13.6640625" style="38" customWidth="1"/>
    <col min="8453" max="8453" width="9.44140625" style="38" customWidth="1"/>
    <col min="8454" max="8703" width="11.5546875" style="38" hidden="1"/>
    <col min="8704" max="8704" width="1.33203125" style="38" customWidth="1"/>
    <col min="8705" max="8705" width="100.6640625" style="38" customWidth="1"/>
    <col min="8706" max="8706" width="25.6640625" style="38" customWidth="1"/>
    <col min="8707" max="8707" width="14" style="38" customWidth="1"/>
    <col min="8708" max="8708" width="13.6640625" style="38" customWidth="1"/>
    <col min="8709" max="8709" width="9.44140625" style="38" customWidth="1"/>
    <col min="8710" max="8959" width="11.5546875" style="38" hidden="1"/>
    <col min="8960" max="8960" width="1.33203125" style="38" customWidth="1"/>
    <col min="8961" max="8961" width="100.6640625" style="38" customWidth="1"/>
    <col min="8962" max="8962" width="25.6640625" style="38" customWidth="1"/>
    <col min="8963" max="8963" width="14" style="38" customWidth="1"/>
    <col min="8964" max="8964" width="13.6640625" style="38" customWidth="1"/>
    <col min="8965" max="8965" width="9.44140625" style="38" customWidth="1"/>
    <col min="8966" max="9215" width="11.5546875" style="38" hidden="1"/>
    <col min="9216" max="9216" width="1.33203125" style="38" customWidth="1"/>
    <col min="9217" max="9217" width="100.6640625" style="38" customWidth="1"/>
    <col min="9218" max="9218" width="25.6640625" style="38" customWidth="1"/>
    <col min="9219" max="9219" width="14" style="38" customWidth="1"/>
    <col min="9220" max="9220" width="13.6640625" style="38" customWidth="1"/>
    <col min="9221" max="9221" width="9.44140625" style="38" customWidth="1"/>
    <col min="9222" max="9471" width="11.5546875" style="38" hidden="1"/>
    <col min="9472" max="9472" width="1.33203125" style="38" customWidth="1"/>
    <col min="9473" max="9473" width="100.6640625" style="38" customWidth="1"/>
    <col min="9474" max="9474" width="25.6640625" style="38" customWidth="1"/>
    <col min="9475" max="9475" width="14" style="38" customWidth="1"/>
    <col min="9476" max="9476" width="13.6640625" style="38" customWidth="1"/>
    <col min="9477" max="9477" width="9.44140625" style="38" customWidth="1"/>
    <col min="9478" max="9727" width="11.5546875" style="38" hidden="1"/>
    <col min="9728" max="9728" width="1.33203125" style="38" customWidth="1"/>
    <col min="9729" max="9729" width="100.6640625" style="38" customWidth="1"/>
    <col min="9730" max="9730" width="25.6640625" style="38" customWidth="1"/>
    <col min="9731" max="9731" width="14" style="38" customWidth="1"/>
    <col min="9732" max="9732" width="13.6640625" style="38" customWidth="1"/>
    <col min="9733" max="9733" width="9.44140625" style="38" customWidth="1"/>
    <col min="9734" max="9983" width="11.5546875" style="38" hidden="1"/>
    <col min="9984" max="9984" width="1.33203125" style="38" customWidth="1"/>
    <col min="9985" max="9985" width="100.6640625" style="38" customWidth="1"/>
    <col min="9986" max="9986" width="25.6640625" style="38" customWidth="1"/>
    <col min="9987" max="9987" width="14" style="38" customWidth="1"/>
    <col min="9988" max="9988" width="13.6640625" style="38" customWidth="1"/>
    <col min="9989" max="9989" width="9.44140625" style="38" customWidth="1"/>
    <col min="9990" max="10239" width="11.5546875" style="38" hidden="1"/>
    <col min="10240" max="10240" width="1.33203125" style="38" customWidth="1"/>
    <col min="10241" max="10241" width="100.6640625" style="38" customWidth="1"/>
    <col min="10242" max="10242" width="25.6640625" style="38" customWidth="1"/>
    <col min="10243" max="10243" width="14" style="38" customWidth="1"/>
    <col min="10244" max="10244" width="13.6640625" style="38" customWidth="1"/>
    <col min="10245" max="10245" width="9.44140625" style="38" customWidth="1"/>
    <col min="10246" max="10495" width="11.5546875" style="38" hidden="1"/>
    <col min="10496" max="10496" width="1.33203125" style="38" customWidth="1"/>
    <col min="10497" max="10497" width="100.6640625" style="38" customWidth="1"/>
    <col min="10498" max="10498" width="25.6640625" style="38" customWidth="1"/>
    <col min="10499" max="10499" width="14" style="38" customWidth="1"/>
    <col min="10500" max="10500" width="13.6640625" style="38" customWidth="1"/>
    <col min="10501" max="10501" width="9.44140625" style="38" customWidth="1"/>
    <col min="10502" max="10751" width="11.5546875" style="38" hidden="1"/>
    <col min="10752" max="10752" width="1.33203125" style="38" customWidth="1"/>
    <col min="10753" max="10753" width="100.6640625" style="38" customWidth="1"/>
    <col min="10754" max="10754" width="25.6640625" style="38" customWidth="1"/>
    <col min="10755" max="10755" width="14" style="38" customWidth="1"/>
    <col min="10756" max="10756" width="13.6640625" style="38" customWidth="1"/>
    <col min="10757" max="10757" width="9.44140625" style="38" customWidth="1"/>
    <col min="10758" max="11007" width="11.5546875" style="38" hidden="1"/>
    <col min="11008" max="11008" width="1.33203125" style="38" customWidth="1"/>
    <col min="11009" max="11009" width="100.6640625" style="38" customWidth="1"/>
    <col min="11010" max="11010" width="25.6640625" style="38" customWidth="1"/>
    <col min="11011" max="11011" width="14" style="38" customWidth="1"/>
    <col min="11012" max="11012" width="13.6640625" style="38" customWidth="1"/>
    <col min="11013" max="11013" width="9.44140625" style="38" customWidth="1"/>
    <col min="11014" max="11263" width="11.5546875" style="38" hidden="1"/>
    <col min="11264" max="11264" width="1.33203125" style="38" customWidth="1"/>
    <col min="11265" max="11265" width="100.6640625" style="38" customWidth="1"/>
    <col min="11266" max="11266" width="25.6640625" style="38" customWidth="1"/>
    <col min="11267" max="11267" width="14" style="38" customWidth="1"/>
    <col min="11268" max="11268" width="13.6640625" style="38" customWidth="1"/>
    <col min="11269" max="11269" width="9.44140625" style="38" customWidth="1"/>
    <col min="11270" max="11519" width="11.5546875" style="38" hidden="1"/>
    <col min="11520" max="11520" width="1.33203125" style="38" customWidth="1"/>
    <col min="11521" max="11521" width="100.6640625" style="38" customWidth="1"/>
    <col min="11522" max="11522" width="25.6640625" style="38" customWidth="1"/>
    <col min="11523" max="11523" width="14" style="38" customWidth="1"/>
    <col min="11524" max="11524" width="13.6640625" style="38" customWidth="1"/>
    <col min="11525" max="11525" width="9.44140625" style="38" customWidth="1"/>
    <col min="11526" max="11775" width="11.5546875" style="38" hidden="1"/>
    <col min="11776" max="11776" width="1.33203125" style="38" customWidth="1"/>
    <col min="11777" max="11777" width="100.6640625" style="38" customWidth="1"/>
    <col min="11778" max="11778" width="25.6640625" style="38" customWidth="1"/>
    <col min="11779" max="11779" width="14" style="38" customWidth="1"/>
    <col min="11780" max="11780" width="13.6640625" style="38" customWidth="1"/>
    <col min="11781" max="11781" width="9.44140625" style="38" customWidth="1"/>
    <col min="11782" max="12031" width="11.5546875" style="38" hidden="1"/>
    <col min="12032" max="12032" width="1.33203125" style="38" customWidth="1"/>
    <col min="12033" max="12033" width="100.6640625" style="38" customWidth="1"/>
    <col min="12034" max="12034" width="25.6640625" style="38" customWidth="1"/>
    <col min="12035" max="12035" width="14" style="38" customWidth="1"/>
    <col min="12036" max="12036" width="13.6640625" style="38" customWidth="1"/>
    <col min="12037" max="12037" width="9.44140625" style="38" customWidth="1"/>
    <col min="12038" max="12287" width="11.5546875" style="38" hidden="1"/>
    <col min="12288" max="12288" width="1.33203125" style="38" customWidth="1"/>
    <col min="12289" max="12289" width="100.6640625" style="38" customWidth="1"/>
    <col min="12290" max="12290" width="25.6640625" style="38" customWidth="1"/>
    <col min="12291" max="12291" width="14" style="38" customWidth="1"/>
    <col min="12292" max="12292" width="13.6640625" style="38" customWidth="1"/>
    <col min="12293" max="12293" width="9.44140625" style="38" customWidth="1"/>
    <col min="12294" max="12543" width="11.5546875" style="38" hidden="1"/>
    <col min="12544" max="12544" width="1.33203125" style="38" customWidth="1"/>
    <col min="12545" max="12545" width="100.6640625" style="38" customWidth="1"/>
    <col min="12546" max="12546" width="25.6640625" style="38" customWidth="1"/>
    <col min="12547" max="12547" width="14" style="38" customWidth="1"/>
    <col min="12548" max="12548" width="13.6640625" style="38" customWidth="1"/>
    <col min="12549" max="12549" width="9.44140625" style="38" customWidth="1"/>
    <col min="12550" max="12799" width="11.5546875" style="38" hidden="1"/>
    <col min="12800" max="12800" width="1.33203125" style="38" customWidth="1"/>
    <col min="12801" max="12801" width="100.6640625" style="38" customWidth="1"/>
    <col min="12802" max="12802" width="25.6640625" style="38" customWidth="1"/>
    <col min="12803" max="12803" width="14" style="38" customWidth="1"/>
    <col min="12804" max="12804" width="13.6640625" style="38" customWidth="1"/>
    <col min="12805" max="12805" width="9.44140625" style="38" customWidth="1"/>
    <col min="12806" max="13055" width="11.5546875" style="38" hidden="1"/>
    <col min="13056" max="13056" width="1.33203125" style="38" customWidth="1"/>
    <col min="13057" max="13057" width="100.6640625" style="38" customWidth="1"/>
    <col min="13058" max="13058" width="25.6640625" style="38" customWidth="1"/>
    <col min="13059" max="13059" width="14" style="38" customWidth="1"/>
    <col min="13060" max="13060" width="13.6640625" style="38" customWidth="1"/>
    <col min="13061" max="13061" width="9.44140625" style="38" customWidth="1"/>
    <col min="13062" max="13311" width="11.5546875" style="38" hidden="1"/>
    <col min="13312" max="13312" width="1.33203125" style="38" customWidth="1"/>
    <col min="13313" max="13313" width="100.6640625" style="38" customWidth="1"/>
    <col min="13314" max="13314" width="25.6640625" style="38" customWidth="1"/>
    <col min="13315" max="13315" width="14" style="38" customWidth="1"/>
    <col min="13316" max="13316" width="13.6640625" style="38" customWidth="1"/>
    <col min="13317" max="13317" width="9.44140625" style="38" customWidth="1"/>
    <col min="13318" max="13567" width="11.5546875" style="38" hidden="1"/>
    <col min="13568" max="13568" width="1.33203125" style="38" customWidth="1"/>
    <col min="13569" max="13569" width="100.6640625" style="38" customWidth="1"/>
    <col min="13570" max="13570" width="25.6640625" style="38" customWidth="1"/>
    <col min="13571" max="13571" width="14" style="38" customWidth="1"/>
    <col min="13572" max="13572" width="13.6640625" style="38" customWidth="1"/>
    <col min="13573" max="13573" width="9.44140625" style="38" customWidth="1"/>
    <col min="13574" max="13823" width="11.5546875" style="38" hidden="1"/>
    <col min="13824" max="13824" width="1.33203125" style="38" customWidth="1"/>
    <col min="13825" max="13825" width="100.6640625" style="38" customWidth="1"/>
    <col min="13826" max="13826" width="25.6640625" style="38" customWidth="1"/>
    <col min="13827" max="13827" width="14" style="38" customWidth="1"/>
    <col min="13828" max="13828" width="13.6640625" style="38" customWidth="1"/>
    <col min="13829" max="13829" width="9.44140625" style="38" customWidth="1"/>
    <col min="13830" max="14079" width="11.5546875" style="38" hidden="1"/>
    <col min="14080" max="14080" width="1.33203125" style="38" customWidth="1"/>
    <col min="14081" max="14081" width="100.6640625" style="38" customWidth="1"/>
    <col min="14082" max="14082" width="25.6640625" style="38" customWidth="1"/>
    <col min="14083" max="14083" width="14" style="38" customWidth="1"/>
    <col min="14084" max="14084" width="13.6640625" style="38" customWidth="1"/>
    <col min="14085" max="14085" width="9.44140625" style="38" customWidth="1"/>
    <col min="14086" max="14335" width="11.5546875" style="38" hidden="1"/>
    <col min="14336" max="14336" width="1.33203125" style="38" customWidth="1"/>
    <col min="14337" max="14337" width="100.6640625" style="38" customWidth="1"/>
    <col min="14338" max="14338" width="25.6640625" style="38" customWidth="1"/>
    <col min="14339" max="14339" width="14" style="38" customWidth="1"/>
    <col min="14340" max="14340" width="13.6640625" style="38" customWidth="1"/>
    <col min="14341" max="14341" width="9.44140625" style="38" customWidth="1"/>
    <col min="14342" max="14591" width="11.5546875" style="38" hidden="1"/>
    <col min="14592" max="14592" width="1.33203125" style="38" customWidth="1"/>
    <col min="14593" max="14593" width="100.6640625" style="38" customWidth="1"/>
    <col min="14594" max="14594" width="25.6640625" style="38" customWidth="1"/>
    <col min="14595" max="14595" width="14" style="38" customWidth="1"/>
    <col min="14596" max="14596" width="13.6640625" style="38" customWidth="1"/>
    <col min="14597" max="14597" width="9.44140625" style="38" customWidth="1"/>
    <col min="14598" max="14847" width="11.5546875" style="38" hidden="1"/>
    <col min="14848" max="14848" width="1.33203125" style="38" customWidth="1"/>
    <col min="14849" max="14849" width="100.6640625" style="38" customWidth="1"/>
    <col min="14850" max="14850" width="25.6640625" style="38" customWidth="1"/>
    <col min="14851" max="14851" width="14" style="38" customWidth="1"/>
    <col min="14852" max="14852" width="13.6640625" style="38" customWidth="1"/>
    <col min="14853" max="14853" width="9.44140625" style="38" customWidth="1"/>
    <col min="14854" max="15103" width="11.5546875" style="38" hidden="1"/>
    <col min="15104" max="15104" width="1.33203125" style="38" customWidth="1"/>
    <col min="15105" max="15105" width="100.6640625" style="38" customWidth="1"/>
    <col min="15106" max="15106" width="25.6640625" style="38" customWidth="1"/>
    <col min="15107" max="15107" width="14" style="38" customWidth="1"/>
    <col min="15108" max="15108" width="13.6640625" style="38" customWidth="1"/>
    <col min="15109" max="15109" width="9.44140625" style="38" customWidth="1"/>
    <col min="15110" max="15359" width="11.5546875" style="38" hidden="1"/>
    <col min="15360" max="15360" width="1.33203125" style="38" customWidth="1"/>
    <col min="15361" max="15361" width="100.6640625" style="38" customWidth="1"/>
    <col min="15362" max="15362" width="25.6640625" style="38" customWidth="1"/>
    <col min="15363" max="15363" width="14" style="38" customWidth="1"/>
    <col min="15364" max="15364" width="13.6640625" style="38" customWidth="1"/>
    <col min="15365" max="15365" width="9.44140625" style="38" customWidth="1"/>
    <col min="15366" max="15615" width="11.5546875" style="38" hidden="1"/>
    <col min="15616" max="15616" width="1.33203125" style="38" customWidth="1"/>
    <col min="15617" max="15617" width="100.6640625" style="38" customWidth="1"/>
    <col min="15618" max="15618" width="25.6640625" style="38" customWidth="1"/>
    <col min="15619" max="15619" width="14" style="38" customWidth="1"/>
    <col min="15620" max="15620" width="13.6640625" style="38" customWidth="1"/>
    <col min="15621" max="15621" width="9.44140625" style="38" customWidth="1"/>
    <col min="15622" max="15871" width="11.5546875" style="38" hidden="1"/>
    <col min="15872" max="15872" width="1.33203125" style="38" customWidth="1"/>
    <col min="15873" max="15873" width="100.6640625" style="38" customWidth="1"/>
    <col min="15874" max="15874" width="25.6640625" style="38" customWidth="1"/>
    <col min="15875" max="15875" width="14" style="38" customWidth="1"/>
    <col min="15876" max="15876" width="13.6640625" style="38" customWidth="1"/>
    <col min="15877" max="15877" width="9.44140625" style="38" customWidth="1"/>
    <col min="15878" max="16127" width="11.5546875" style="38" hidden="1"/>
    <col min="16128" max="16128" width="1.33203125" style="38" customWidth="1"/>
    <col min="16129" max="16129" width="100.6640625" style="38" customWidth="1"/>
    <col min="16130" max="16130" width="25.6640625" style="38" customWidth="1"/>
    <col min="16131" max="16131" width="14" style="38" customWidth="1"/>
    <col min="16132" max="16132" width="13.6640625" style="38" customWidth="1"/>
    <col min="16133" max="16133" width="9.44140625" style="38" customWidth="1"/>
    <col min="16134" max="16384" width="11.5546875" style="38" hidden="1"/>
  </cols>
  <sheetData>
    <row r="1" spans="1:4" ht="54.75" customHeight="1" thickBot="1" x14ac:dyDescent="0.35">
      <c r="A1" s="42" t="s">
        <v>38</v>
      </c>
      <c r="B1" s="40" t="s">
        <v>39</v>
      </c>
      <c r="C1" s="41" t="s">
        <v>40</v>
      </c>
      <c r="D1" s="42" t="s">
        <v>41</v>
      </c>
    </row>
    <row r="2" spans="1:4" ht="20.25" customHeight="1" x14ac:dyDescent="0.3">
      <c r="A2" s="70" t="s">
        <v>42</v>
      </c>
      <c r="C2" s="73">
        <v>0</v>
      </c>
      <c r="D2" s="71"/>
    </row>
    <row r="3" spans="1:4" s="39" customFormat="1" ht="15" customHeight="1" x14ac:dyDescent="0.3">
      <c r="A3" s="44">
        <v>303</v>
      </c>
      <c r="B3" s="43" t="s">
        <v>43</v>
      </c>
      <c r="C3" s="72">
        <v>0.1</v>
      </c>
      <c r="D3" s="44">
        <v>303</v>
      </c>
    </row>
    <row r="4" spans="1:4" s="39" customFormat="1" ht="15" customHeight="1" x14ac:dyDescent="0.3">
      <c r="A4" s="46">
        <v>304</v>
      </c>
      <c r="B4" s="45" t="s">
        <v>44</v>
      </c>
      <c r="C4" s="73">
        <v>0.08</v>
      </c>
      <c r="D4" s="46">
        <v>304</v>
      </c>
    </row>
    <row r="5" spans="1:4" s="39" customFormat="1" ht="15" customHeight="1" x14ac:dyDescent="0.3">
      <c r="A5" s="47" t="s">
        <v>45</v>
      </c>
      <c r="B5" s="45" t="s">
        <v>46</v>
      </c>
      <c r="C5" s="73">
        <v>0.08</v>
      </c>
      <c r="D5" s="46">
        <v>304</v>
      </c>
    </row>
    <row r="6" spans="1:4" s="39" customFormat="1" ht="15" customHeight="1" x14ac:dyDescent="0.3">
      <c r="A6" s="47" t="s">
        <v>20</v>
      </c>
      <c r="B6" s="45" t="s">
        <v>47</v>
      </c>
      <c r="C6" s="73">
        <v>0.08</v>
      </c>
      <c r="D6" s="46">
        <v>304</v>
      </c>
    </row>
    <row r="7" spans="1:4" s="39" customFormat="1" ht="30" customHeight="1" x14ac:dyDescent="0.3">
      <c r="A7" s="47" t="s">
        <v>48</v>
      </c>
      <c r="B7" s="45" t="s">
        <v>49</v>
      </c>
      <c r="C7" s="73">
        <v>0.08</v>
      </c>
      <c r="D7" s="46">
        <v>304</v>
      </c>
    </row>
    <row r="8" spans="1:4" s="39" customFormat="1" ht="15" customHeight="1" x14ac:dyDescent="0.3">
      <c r="A8" s="47" t="s">
        <v>50</v>
      </c>
      <c r="B8" s="45" t="s">
        <v>51</v>
      </c>
      <c r="C8" s="73">
        <v>0.08</v>
      </c>
      <c r="D8" s="46">
        <v>304</v>
      </c>
    </row>
    <row r="9" spans="1:4" s="39" customFormat="1" ht="15" customHeight="1" x14ac:dyDescent="0.3">
      <c r="A9" s="47" t="s">
        <v>52</v>
      </c>
      <c r="B9" s="45" t="s">
        <v>53</v>
      </c>
      <c r="C9" s="73">
        <v>0.08</v>
      </c>
      <c r="D9" s="46">
        <v>304</v>
      </c>
    </row>
    <row r="10" spans="1:4" s="39" customFormat="1" ht="15" customHeight="1" x14ac:dyDescent="0.3">
      <c r="A10" s="46">
        <v>307</v>
      </c>
      <c r="B10" s="45" t="s">
        <v>54</v>
      </c>
      <c r="C10" s="73">
        <v>0.02</v>
      </c>
      <c r="D10" s="46">
        <v>307</v>
      </c>
    </row>
    <row r="11" spans="1:4" s="39" customFormat="1" ht="15" customHeight="1" x14ac:dyDescent="0.3">
      <c r="A11" s="46">
        <v>308</v>
      </c>
      <c r="B11" s="45" t="s">
        <v>55</v>
      </c>
      <c r="C11" s="73">
        <v>0.1</v>
      </c>
      <c r="D11" s="46">
        <v>308</v>
      </c>
    </row>
    <row r="12" spans="1:4" s="39" customFormat="1" ht="15" customHeight="1" x14ac:dyDescent="0.3">
      <c r="A12" s="49">
        <v>309</v>
      </c>
      <c r="B12" s="48" t="s">
        <v>56</v>
      </c>
      <c r="C12" s="74">
        <v>1.7500000000000002E-2</v>
      </c>
      <c r="D12" s="49">
        <v>309</v>
      </c>
    </row>
    <row r="13" spans="1:4" s="39" customFormat="1" ht="15" customHeight="1" x14ac:dyDescent="0.3">
      <c r="A13" s="46">
        <v>310</v>
      </c>
      <c r="B13" s="45" t="s">
        <v>57</v>
      </c>
      <c r="C13" s="73">
        <v>0.01</v>
      </c>
      <c r="D13" s="46">
        <v>310</v>
      </c>
    </row>
    <row r="14" spans="1:4" s="39" customFormat="1" ht="15" customHeight="1" x14ac:dyDescent="0.3">
      <c r="A14" s="46">
        <v>311</v>
      </c>
      <c r="B14" s="45" t="s">
        <v>58</v>
      </c>
      <c r="C14" s="73">
        <v>0.02</v>
      </c>
      <c r="D14" s="46">
        <v>311</v>
      </c>
    </row>
    <row r="15" spans="1:4" s="39" customFormat="1" ht="15" customHeight="1" x14ac:dyDescent="0.3">
      <c r="A15" s="49">
        <v>312</v>
      </c>
      <c r="B15" s="48" t="s">
        <v>59</v>
      </c>
      <c r="C15" s="74">
        <v>1.7500000000000002E-2</v>
      </c>
      <c r="D15" s="49">
        <v>312</v>
      </c>
    </row>
    <row r="16" spans="1:4" s="39" customFormat="1" ht="42.75" customHeight="1" x14ac:dyDescent="0.3">
      <c r="A16" s="49" t="s">
        <v>60</v>
      </c>
      <c r="B16" s="48" t="s">
        <v>61</v>
      </c>
      <c r="C16" s="75">
        <v>0.01</v>
      </c>
      <c r="D16" s="49">
        <v>3120</v>
      </c>
    </row>
    <row r="17" spans="1:4" s="39" customFormat="1" ht="15" customHeight="1" x14ac:dyDescent="0.3">
      <c r="A17" s="46" t="s">
        <v>62</v>
      </c>
      <c r="B17" s="45" t="s">
        <v>63</v>
      </c>
      <c r="C17" s="75">
        <v>0.01</v>
      </c>
      <c r="D17" s="46">
        <v>348</v>
      </c>
    </row>
    <row r="18" spans="1:4" s="39" customFormat="1" ht="15" customHeight="1" x14ac:dyDescent="0.3">
      <c r="A18" s="46" t="s">
        <v>64</v>
      </c>
      <c r="B18" s="45" t="s">
        <v>65</v>
      </c>
      <c r="C18" s="73">
        <v>0.08</v>
      </c>
      <c r="D18" s="46">
        <v>314</v>
      </c>
    </row>
    <row r="19" spans="1:4" s="39" customFormat="1" ht="30" customHeight="1" x14ac:dyDescent="0.3">
      <c r="A19" s="46" t="s">
        <v>66</v>
      </c>
      <c r="B19" s="45" t="s">
        <v>67</v>
      </c>
      <c r="C19" s="73">
        <v>0.08</v>
      </c>
      <c r="D19" s="46">
        <v>314</v>
      </c>
    </row>
    <row r="20" spans="1:4" s="39" customFormat="1" ht="15" customHeight="1" x14ac:dyDescent="0.3">
      <c r="A20" s="46" t="s">
        <v>68</v>
      </c>
      <c r="B20" s="45" t="s">
        <v>69</v>
      </c>
      <c r="C20" s="73">
        <v>0.08</v>
      </c>
      <c r="D20" s="46">
        <v>314</v>
      </c>
    </row>
    <row r="21" spans="1:4" s="39" customFormat="1" ht="30" customHeight="1" x14ac:dyDescent="0.3">
      <c r="A21" s="46" t="s">
        <v>70</v>
      </c>
      <c r="B21" s="45" t="s">
        <v>71</v>
      </c>
      <c r="C21" s="73">
        <v>0.08</v>
      </c>
      <c r="D21" s="46">
        <v>314</v>
      </c>
    </row>
    <row r="22" spans="1:4" s="39" customFormat="1" ht="30.75" customHeight="1" x14ac:dyDescent="0.3">
      <c r="A22" s="49">
        <v>319</v>
      </c>
      <c r="B22" s="48" t="s">
        <v>72</v>
      </c>
      <c r="C22" s="74">
        <v>1.7500000000000002E-2</v>
      </c>
      <c r="D22" s="49">
        <v>319</v>
      </c>
    </row>
    <row r="23" spans="1:4" s="39" customFormat="1" ht="15" customHeight="1" x14ac:dyDescent="0.3">
      <c r="A23" s="46">
        <v>320</v>
      </c>
      <c r="B23" s="45" t="s">
        <v>73</v>
      </c>
      <c r="C23" s="73">
        <v>0.08</v>
      </c>
      <c r="D23" s="46">
        <v>320</v>
      </c>
    </row>
    <row r="24" spans="1:4" s="39" customFormat="1" ht="15" customHeight="1" x14ac:dyDescent="0.3">
      <c r="A24" s="49">
        <v>322</v>
      </c>
      <c r="B24" s="48" t="s">
        <v>74</v>
      </c>
      <c r="C24" s="74">
        <v>1.7500000000000002E-2</v>
      </c>
      <c r="D24" s="49">
        <v>322</v>
      </c>
    </row>
    <row r="25" spans="1:4" s="39" customFormat="1" ht="15" customHeight="1" x14ac:dyDescent="0.3">
      <c r="A25" s="46">
        <v>323</v>
      </c>
      <c r="B25" s="45" t="s">
        <v>75</v>
      </c>
      <c r="C25" s="73">
        <v>0.02</v>
      </c>
      <c r="D25" s="46">
        <v>323</v>
      </c>
    </row>
    <row r="26" spans="1:4" s="39" customFormat="1" ht="15" customHeight="1" x14ac:dyDescent="0.3">
      <c r="A26" s="46" t="s">
        <v>76</v>
      </c>
      <c r="B26" s="45" t="s">
        <v>77</v>
      </c>
      <c r="C26" s="73">
        <v>0.02</v>
      </c>
      <c r="D26" s="46">
        <v>323</v>
      </c>
    </row>
    <row r="27" spans="1:4" s="39" customFormat="1" ht="15" customHeight="1" x14ac:dyDescent="0.3">
      <c r="A27" s="46" t="s">
        <v>78</v>
      </c>
      <c r="B27" s="45" t="s">
        <v>79</v>
      </c>
      <c r="C27" s="73">
        <v>0.02</v>
      </c>
      <c r="D27" s="46">
        <v>323</v>
      </c>
    </row>
    <row r="28" spans="1:4" s="39" customFormat="1" ht="15" customHeight="1" x14ac:dyDescent="0.3">
      <c r="A28" s="46" t="s">
        <v>80</v>
      </c>
      <c r="B28" s="45" t="s">
        <v>81</v>
      </c>
      <c r="C28" s="73">
        <v>0.02</v>
      </c>
      <c r="D28" s="46">
        <v>323</v>
      </c>
    </row>
    <row r="29" spans="1:4" s="39" customFormat="1" ht="15" customHeight="1" x14ac:dyDescent="0.3">
      <c r="A29" s="46" t="s">
        <v>82</v>
      </c>
      <c r="B29" s="45" t="s">
        <v>83</v>
      </c>
      <c r="C29" s="73">
        <v>0</v>
      </c>
      <c r="D29" s="46">
        <v>332</v>
      </c>
    </row>
    <row r="30" spans="1:4" s="39" customFormat="1" ht="15" customHeight="1" x14ac:dyDescent="0.3">
      <c r="A30" s="46" t="s">
        <v>84</v>
      </c>
      <c r="B30" s="45" t="s">
        <v>85</v>
      </c>
      <c r="C30" s="73">
        <v>0.02</v>
      </c>
      <c r="D30" s="46">
        <v>323</v>
      </c>
    </row>
    <row r="31" spans="1:4" s="39" customFormat="1" ht="15" customHeight="1" x14ac:dyDescent="0.3">
      <c r="A31" s="46" t="s">
        <v>86</v>
      </c>
      <c r="B31" s="45" t="s">
        <v>87</v>
      </c>
      <c r="C31" s="73">
        <v>0.02</v>
      </c>
      <c r="D31" s="46">
        <v>323</v>
      </c>
    </row>
    <row r="32" spans="1:4" s="39" customFormat="1" ht="15" customHeight="1" x14ac:dyDescent="0.3">
      <c r="A32" s="46" t="s">
        <v>88</v>
      </c>
      <c r="B32" s="45" t="s">
        <v>89</v>
      </c>
      <c r="C32" s="73">
        <v>0.02</v>
      </c>
      <c r="D32" s="46">
        <v>323</v>
      </c>
    </row>
    <row r="33" spans="1:4" s="39" customFormat="1" ht="15" customHeight="1" x14ac:dyDescent="0.3">
      <c r="A33" s="46" t="s">
        <v>90</v>
      </c>
      <c r="B33" s="45" t="s">
        <v>91</v>
      </c>
      <c r="C33" s="73">
        <v>0.02</v>
      </c>
      <c r="D33" s="46">
        <v>323</v>
      </c>
    </row>
    <row r="34" spans="1:4" s="39" customFormat="1" ht="15" customHeight="1" x14ac:dyDescent="0.3">
      <c r="A34" s="46" t="s">
        <v>92</v>
      </c>
      <c r="B34" s="45" t="s">
        <v>93</v>
      </c>
      <c r="C34" s="73">
        <v>0.02</v>
      </c>
      <c r="D34" s="46">
        <v>323</v>
      </c>
    </row>
    <row r="35" spans="1:4" s="39" customFormat="1" ht="15" customHeight="1" x14ac:dyDescent="0.3">
      <c r="A35" s="46" t="s">
        <v>94</v>
      </c>
      <c r="B35" s="45" t="s">
        <v>95</v>
      </c>
      <c r="C35" s="73">
        <v>0</v>
      </c>
      <c r="D35" s="46">
        <v>332</v>
      </c>
    </row>
    <row r="36" spans="1:4" s="39" customFormat="1" ht="30" customHeight="1" x14ac:dyDescent="0.3">
      <c r="A36" s="46" t="s">
        <v>96</v>
      </c>
      <c r="B36" s="45" t="s">
        <v>97</v>
      </c>
      <c r="C36" s="73">
        <v>0</v>
      </c>
      <c r="D36" s="46">
        <v>332</v>
      </c>
    </row>
    <row r="37" spans="1:4" s="39" customFormat="1" ht="15" customHeight="1" x14ac:dyDescent="0.3">
      <c r="A37" s="46" t="s">
        <v>98</v>
      </c>
      <c r="B37" s="45" t="s">
        <v>99</v>
      </c>
      <c r="C37" s="73">
        <v>0.02</v>
      </c>
      <c r="D37" s="46">
        <v>323</v>
      </c>
    </row>
    <row r="38" spans="1:4" s="39" customFormat="1" ht="15" customHeight="1" x14ac:dyDescent="0.3">
      <c r="A38" s="46" t="s">
        <v>100</v>
      </c>
      <c r="B38" s="45" t="s">
        <v>101</v>
      </c>
      <c r="C38" s="73">
        <v>0.02</v>
      </c>
      <c r="D38" s="46">
        <v>323</v>
      </c>
    </row>
    <row r="39" spans="1:4" s="39" customFormat="1" ht="15" customHeight="1" x14ac:dyDescent="0.3">
      <c r="A39" s="46" t="s">
        <v>102</v>
      </c>
      <c r="B39" s="45" t="s">
        <v>103</v>
      </c>
      <c r="C39" s="73">
        <v>0</v>
      </c>
      <c r="D39" s="46">
        <v>332</v>
      </c>
    </row>
    <row r="40" spans="1:4" s="39" customFormat="1" ht="30" customHeight="1" x14ac:dyDescent="0.3">
      <c r="A40" s="46" t="s">
        <v>104</v>
      </c>
      <c r="B40" s="45" t="s">
        <v>105</v>
      </c>
      <c r="C40" s="73">
        <v>0.02</v>
      </c>
      <c r="D40" s="46">
        <v>323</v>
      </c>
    </row>
    <row r="41" spans="1:4" s="39" customFormat="1" ht="15" customHeight="1" x14ac:dyDescent="0.3">
      <c r="A41" s="46" t="s">
        <v>106</v>
      </c>
      <c r="B41" s="45" t="s">
        <v>107</v>
      </c>
      <c r="C41" s="73">
        <v>0</v>
      </c>
      <c r="D41" s="46">
        <v>332</v>
      </c>
    </row>
    <row r="42" spans="1:4" s="39" customFormat="1" ht="30" customHeight="1" x14ac:dyDescent="0.3">
      <c r="A42" s="46" t="s">
        <v>108</v>
      </c>
      <c r="B42" s="45" t="s">
        <v>109</v>
      </c>
      <c r="C42" s="73">
        <v>0</v>
      </c>
      <c r="D42" s="46">
        <v>332</v>
      </c>
    </row>
    <row r="43" spans="1:4" s="39" customFormat="1" ht="30" customHeight="1" x14ac:dyDescent="0.3">
      <c r="A43" s="46" t="s">
        <v>110</v>
      </c>
      <c r="B43" s="45" t="s">
        <v>111</v>
      </c>
      <c r="C43" s="73">
        <v>0.01</v>
      </c>
      <c r="D43" s="46">
        <v>324</v>
      </c>
    </row>
    <row r="44" spans="1:4" s="39" customFormat="1" ht="15" customHeight="1" x14ac:dyDescent="0.3">
      <c r="A44" s="46" t="s">
        <v>112</v>
      </c>
      <c r="B44" s="45" t="s">
        <v>113</v>
      </c>
      <c r="C44" s="73">
        <v>0.01</v>
      </c>
      <c r="D44" s="46">
        <v>324</v>
      </c>
    </row>
    <row r="45" spans="1:4" s="39" customFormat="1" ht="30" customHeight="1" x14ac:dyDescent="0.3">
      <c r="A45" s="46" t="s">
        <v>114</v>
      </c>
      <c r="B45" s="45" t="s">
        <v>115</v>
      </c>
      <c r="C45" s="73">
        <v>0.01</v>
      </c>
      <c r="D45" s="46">
        <v>324</v>
      </c>
    </row>
    <row r="46" spans="1:4" s="39" customFormat="1" ht="15" customHeight="1" x14ac:dyDescent="0.3">
      <c r="A46" s="49">
        <v>325</v>
      </c>
      <c r="B46" s="48" t="s">
        <v>116</v>
      </c>
      <c r="C46" s="49" t="s">
        <v>117</v>
      </c>
      <c r="D46" s="49">
        <v>325</v>
      </c>
    </row>
    <row r="47" spans="1:4" s="39" customFormat="1" ht="15" customHeight="1" x14ac:dyDescent="0.3">
      <c r="A47" s="46" t="s">
        <v>118</v>
      </c>
      <c r="B47" s="45" t="s">
        <v>119</v>
      </c>
      <c r="C47" s="46" t="s">
        <v>117</v>
      </c>
      <c r="D47" s="46">
        <v>325</v>
      </c>
    </row>
    <row r="48" spans="1:4" s="39" customFormat="1" ht="45" customHeight="1" x14ac:dyDescent="0.3">
      <c r="A48" s="49">
        <v>326</v>
      </c>
      <c r="B48" s="48" t="s">
        <v>120</v>
      </c>
      <c r="C48" s="50" t="s">
        <v>121</v>
      </c>
      <c r="D48" s="49">
        <v>326</v>
      </c>
    </row>
    <row r="49" spans="1:4" s="39" customFormat="1" ht="45" customHeight="1" x14ac:dyDescent="0.3">
      <c r="A49" s="49">
        <v>327</v>
      </c>
      <c r="B49" s="48" t="s">
        <v>122</v>
      </c>
      <c r="C49" s="50" t="s">
        <v>121</v>
      </c>
      <c r="D49" s="49">
        <v>327</v>
      </c>
    </row>
    <row r="50" spans="1:4" s="39" customFormat="1" ht="15" customHeight="1" x14ac:dyDescent="0.3">
      <c r="A50" s="52">
        <v>328</v>
      </c>
      <c r="B50" s="45" t="s">
        <v>123</v>
      </c>
      <c r="C50" s="76">
        <v>0</v>
      </c>
      <c r="D50" s="52">
        <v>328</v>
      </c>
    </row>
    <row r="51" spans="1:4" s="39" customFormat="1" ht="15" customHeight="1" x14ac:dyDescent="0.3">
      <c r="A51" s="52">
        <v>329</v>
      </c>
      <c r="B51" s="45" t="s">
        <v>124</v>
      </c>
      <c r="C51" s="76">
        <v>0</v>
      </c>
      <c r="D51" s="52">
        <v>329</v>
      </c>
    </row>
    <row r="52" spans="1:4" s="39" customFormat="1" hidden="1" x14ac:dyDescent="0.3">
      <c r="A52" s="49">
        <v>331</v>
      </c>
      <c r="B52" s="48" t="s">
        <v>125</v>
      </c>
      <c r="C52" s="76">
        <v>0</v>
      </c>
      <c r="D52" s="49">
        <v>331</v>
      </c>
    </row>
    <row r="53" spans="1:4" s="39" customFormat="1" ht="30.75" customHeight="1" x14ac:dyDescent="0.3">
      <c r="A53" s="46">
        <v>332</v>
      </c>
      <c r="B53" s="53" t="s">
        <v>126</v>
      </c>
      <c r="C53" s="76">
        <v>0</v>
      </c>
      <c r="D53" s="46">
        <v>332</v>
      </c>
    </row>
    <row r="54" spans="1:4" s="39" customFormat="1" ht="15" customHeight="1" x14ac:dyDescent="0.3">
      <c r="A54" s="46" t="s">
        <v>127</v>
      </c>
      <c r="B54" s="45" t="s">
        <v>128</v>
      </c>
      <c r="C54" s="76">
        <v>0</v>
      </c>
      <c r="D54" s="46">
        <v>332</v>
      </c>
    </row>
    <row r="55" spans="1:4" s="39" customFormat="1" ht="15" customHeight="1" x14ac:dyDescent="0.3">
      <c r="A55" s="46" t="s">
        <v>129</v>
      </c>
      <c r="B55" s="45" t="s">
        <v>130</v>
      </c>
      <c r="C55" s="76">
        <v>0</v>
      </c>
      <c r="D55" s="46">
        <v>332</v>
      </c>
    </row>
    <row r="56" spans="1:4" s="39" customFormat="1" ht="15" customHeight="1" x14ac:dyDescent="0.3">
      <c r="A56" s="46" t="s">
        <v>131</v>
      </c>
      <c r="B56" s="45" t="s">
        <v>132</v>
      </c>
      <c r="C56" s="76">
        <v>0</v>
      </c>
      <c r="D56" s="46">
        <v>332</v>
      </c>
    </row>
    <row r="57" spans="1:4" s="39" customFormat="1" hidden="1" x14ac:dyDescent="0.3">
      <c r="A57" s="46" t="s">
        <v>133</v>
      </c>
      <c r="B57" s="45" t="s">
        <v>134</v>
      </c>
      <c r="C57" s="76">
        <v>0</v>
      </c>
      <c r="D57" s="46">
        <v>332</v>
      </c>
    </row>
    <row r="58" spans="1:4" s="39" customFormat="1" ht="15" customHeight="1" x14ac:dyDescent="0.3">
      <c r="A58" s="46" t="s">
        <v>135</v>
      </c>
      <c r="B58" s="45" t="s">
        <v>136</v>
      </c>
      <c r="C58" s="76">
        <v>0</v>
      </c>
      <c r="D58" s="46">
        <v>332</v>
      </c>
    </row>
    <row r="59" spans="1:4" s="39" customFormat="1" ht="15" customHeight="1" x14ac:dyDescent="0.3">
      <c r="A59" s="52" t="s">
        <v>137</v>
      </c>
      <c r="B59" s="45" t="s">
        <v>138</v>
      </c>
      <c r="C59" s="76">
        <v>0</v>
      </c>
      <c r="D59" s="52">
        <v>332</v>
      </c>
    </row>
    <row r="60" spans="1:4" s="39" customFormat="1" ht="15" customHeight="1" x14ac:dyDescent="0.3">
      <c r="A60" s="46" t="s">
        <v>139</v>
      </c>
      <c r="B60" s="45" t="s">
        <v>140</v>
      </c>
      <c r="C60" s="76">
        <v>0</v>
      </c>
      <c r="D60" s="46">
        <v>332</v>
      </c>
    </row>
    <row r="61" spans="1:4" s="39" customFormat="1" ht="15" customHeight="1" x14ac:dyDescent="0.3">
      <c r="A61" s="46" t="s">
        <v>141</v>
      </c>
      <c r="B61" s="45" t="s">
        <v>142</v>
      </c>
      <c r="C61" s="76">
        <v>0</v>
      </c>
      <c r="D61" s="46">
        <v>332</v>
      </c>
    </row>
    <row r="62" spans="1:4" s="39" customFormat="1" ht="15" customHeight="1" x14ac:dyDescent="0.3">
      <c r="A62" s="54">
        <v>333</v>
      </c>
      <c r="B62" s="48" t="s">
        <v>143</v>
      </c>
      <c r="C62" s="51">
        <v>10</v>
      </c>
      <c r="D62" s="54">
        <v>333</v>
      </c>
    </row>
    <row r="63" spans="1:4" s="39" customFormat="1" ht="28.8" hidden="1" x14ac:dyDescent="0.3">
      <c r="A63" s="54">
        <v>334</v>
      </c>
      <c r="B63" s="45" t="s">
        <v>144</v>
      </c>
      <c r="C63" s="51">
        <v>1</v>
      </c>
      <c r="D63" s="54">
        <v>334</v>
      </c>
    </row>
    <row r="64" spans="1:4" s="39" customFormat="1" hidden="1" x14ac:dyDescent="0.3">
      <c r="A64" s="46">
        <v>335</v>
      </c>
      <c r="B64" s="45" t="s">
        <v>145</v>
      </c>
      <c r="C64" s="50">
        <v>15</v>
      </c>
      <c r="D64" s="46">
        <v>335</v>
      </c>
    </row>
    <row r="65" spans="1:4" s="39" customFormat="1" ht="15" customHeight="1" x14ac:dyDescent="0.3">
      <c r="A65" s="52">
        <v>336</v>
      </c>
      <c r="B65" s="45" t="s">
        <v>146</v>
      </c>
      <c r="C65" s="51" t="s">
        <v>147</v>
      </c>
      <c r="D65" s="52">
        <v>336</v>
      </c>
    </row>
    <row r="66" spans="1:4" s="39" customFormat="1" ht="15" customHeight="1" x14ac:dyDescent="0.3">
      <c r="A66" s="52">
        <v>337</v>
      </c>
      <c r="B66" s="45" t="s">
        <v>148</v>
      </c>
      <c r="C66" s="51" t="s">
        <v>149</v>
      </c>
      <c r="D66" s="52">
        <v>337</v>
      </c>
    </row>
    <row r="67" spans="1:4" s="39" customFormat="1" ht="15" customHeight="1" x14ac:dyDescent="0.3">
      <c r="A67" s="46">
        <v>338</v>
      </c>
      <c r="B67" s="45" t="s">
        <v>150</v>
      </c>
      <c r="C67" s="55" t="s">
        <v>151</v>
      </c>
      <c r="D67" s="46">
        <v>3380</v>
      </c>
    </row>
    <row r="68" spans="1:4" s="39" customFormat="1" ht="15" customHeight="1" x14ac:dyDescent="0.3">
      <c r="A68" s="46">
        <v>340</v>
      </c>
      <c r="B68" s="45" t="s">
        <v>152</v>
      </c>
      <c r="C68" s="76">
        <v>0.03</v>
      </c>
      <c r="D68" s="46">
        <v>3400</v>
      </c>
    </row>
    <row r="69" spans="1:4" s="39" customFormat="1" ht="31.5" customHeight="1" x14ac:dyDescent="0.3">
      <c r="A69" s="46">
        <v>343</v>
      </c>
      <c r="B69" s="53" t="s">
        <v>153</v>
      </c>
      <c r="C69" s="76">
        <v>0.01</v>
      </c>
      <c r="D69" s="46">
        <v>343</v>
      </c>
    </row>
    <row r="70" spans="1:4" s="39" customFormat="1" ht="15" customHeight="1" x14ac:dyDescent="0.3">
      <c r="A70" s="46" t="s">
        <v>154</v>
      </c>
      <c r="B70" s="45" t="s">
        <v>155</v>
      </c>
      <c r="C70" s="76">
        <v>0.01</v>
      </c>
      <c r="D70" s="46">
        <v>343</v>
      </c>
    </row>
    <row r="71" spans="1:4" s="39" customFormat="1" ht="15" customHeight="1" x14ac:dyDescent="0.3">
      <c r="A71" s="49" t="s">
        <v>156</v>
      </c>
      <c r="B71" s="56" t="s">
        <v>157</v>
      </c>
      <c r="C71" s="57">
        <v>1.7500000000000002E-2</v>
      </c>
      <c r="D71" s="49">
        <v>346</v>
      </c>
    </row>
    <row r="72" spans="1:4" s="39" customFormat="1" ht="15" customHeight="1" x14ac:dyDescent="0.3">
      <c r="A72" s="46" t="s">
        <v>158</v>
      </c>
      <c r="B72" s="45" t="s">
        <v>159</v>
      </c>
      <c r="C72" s="76">
        <v>0.01</v>
      </c>
      <c r="D72" s="46">
        <v>343</v>
      </c>
    </row>
    <row r="73" spans="1:4" s="39" customFormat="1" ht="15" customHeight="1" x14ac:dyDescent="0.3">
      <c r="A73" s="49">
        <v>3440</v>
      </c>
      <c r="B73" s="48" t="s">
        <v>160</v>
      </c>
      <c r="C73" s="57">
        <v>2.75E-2</v>
      </c>
      <c r="D73" s="49">
        <v>3440</v>
      </c>
    </row>
    <row r="74" spans="1:4" s="39" customFormat="1" hidden="1" x14ac:dyDescent="0.3">
      <c r="A74" s="52" t="s">
        <v>161</v>
      </c>
      <c r="B74" s="45" t="s">
        <v>162</v>
      </c>
      <c r="C74" s="51">
        <v>2</v>
      </c>
      <c r="D74" s="52">
        <v>344</v>
      </c>
    </row>
    <row r="75" spans="1:4" s="39" customFormat="1" ht="15" customHeight="1" x14ac:dyDescent="0.3">
      <c r="A75" s="52" t="s">
        <v>163</v>
      </c>
      <c r="B75" s="45" t="s">
        <v>164</v>
      </c>
      <c r="C75" s="57">
        <v>0.02</v>
      </c>
      <c r="D75" s="52">
        <v>344</v>
      </c>
    </row>
    <row r="76" spans="1:4" s="39" customFormat="1" ht="15" customHeight="1" x14ac:dyDescent="0.3">
      <c r="A76" s="52">
        <v>345</v>
      </c>
      <c r="B76" s="45" t="s">
        <v>165</v>
      </c>
      <c r="C76" s="57">
        <v>0.08</v>
      </c>
      <c r="D76" s="52">
        <v>345</v>
      </c>
    </row>
    <row r="77" spans="1:4" s="39" customFormat="1" ht="15" customHeight="1" x14ac:dyDescent="0.3">
      <c r="A77" s="52">
        <v>346</v>
      </c>
      <c r="B77" s="53" t="s">
        <v>166</v>
      </c>
      <c r="C77" s="57">
        <v>1.7500000000000002E-2</v>
      </c>
      <c r="D77" s="52">
        <v>346</v>
      </c>
    </row>
    <row r="78" spans="1:4" s="39" customFormat="1" ht="15" customHeight="1" x14ac:dyDescent="0.3">
      <c r="A78" s="52" t="s">
        <v>167</v>
      </c>
      <c r="B78" s="45" t="s">
        <v>168</v>
      </c>
      <c r="C78" s="51" t="s">
        <v>169</v>
      </c>
      <c r="D78" s="52">
        <v>346</v>
      </c>
    </row>
    <row r="79" spans="1:4" s="39" customFormat="1" ht="15" customHeight="1" x14ac:dyDescent="0.3">
      <c r="A79" s="46" t="s">
        <v>170</v>
      </c>
      <c r="B79" s="45" t="s">
        <v>171</v>
      </c>
      <c r="C79" s="51" t="s">
        <v>172</v>
      </c>
      <c r="D79" s="52">
        <v>346</v>
      </c>
    </row>
    <row r="80" spans="1:4" s="39" customFormat="1" ht="15" customHeight="1" x14ac:dyDescent="0.3">
      <c r="A80" s="46" t="s">
        <v>173</v>
      </c>
      <c r="B80" s="45" t="s">
        <v>174</v>
      </c>
      <c r="C80" s="50" t="s">
        <v>175</v>
      </c>
      <c r="D80" s="46">
        <v>346</v>
      </c>
    </row>
    <row r="81" spans="1:4" s="39" customFormat="1" ht="15" customHeight="1" x14ac:dyDescent="0.3">
      <c r="A81" s="46" t="s">
        <v>176</v>
      </c>
      <c r="B81" s="45" t="s">
        <v>177</v>
      </c>
      <c r="C81" s="50" t="s">
        <v>175</v>
      </c>
      <c r="D81" s="46">
        <v>346</v>
      </c>
    </row>
    <row r="82" spans="1:4" s="39" customFormat="1" ht="28.8" x14ac:dyDescent="0.3">
      <c r="A82" s="46">
        <v>348</v>
      </c>
      <c r="B82" s="45" t="s">
        <v>178</v>
      </c>
      <c r="C82" s="50">
        <v>1</v>
      </c>
      <c r="D82" s="46">
        <v>348</v>
      </c>
    </row>
    <row r="83" spans="1:4" s="39" customFormat="1" x14ac:dyDescent="0.3">
      <c r="A83" s="49">
        <v>350</v>
      </c>
      <c r="B83" s="48" t="s">
        <v>179</v>
      </c>
      <c r="C83" s="50" t="s">
        <v>180</v>
      </c>
      <c r="D83" s="49">
        <v>350</v>
      </c>
    </row>
    <row r="84" spans="1:4" s="58" customFormat="1" ht="15.6" x14ac:dyDescent="0.3">
      <c r="A84" s="47">
        <v>500</v>
      </c>
      <c r="B84" s="45" t="s">
        <v>181</v>
      </c>
      <c r="C84" s="59" t="s">
        <v>182</v>
      </c>
      <c r="D84" s="60">
        <v>411422432</v>
      </c>
    </row>
    <row r="85" spans="1:4" s="39" customFormat="1" x14ac:dyDescent="0.3">
      <c r="A85" s="47">
        <v>501</v>
      </c>
      <c r="B85" s="45" t="s">
        <v>183</v>
      </c>
      <c r="C85" s="59" t="s">
        <v>182</v>
      </c>
      <c r="D85" s="60">
        <v>411422432</v>
      </c>
    </row>
    <row r="86" spans="1:4" s="39" customFormat="1" x14ac:dyDescent="0.3">
      <c r="A86" s="47" t="s">
        <v>184</v>
      </c>
      <c r="B86" s="45" t="s">
        <v>185</v>
      </c>
      <c r="C86" s="59" t="s">
        <v>182</v>
      </c>
      <c r="D86" s="60" t="s">
        <v>186</v>
      </c>
    </row>
    <row r="87" spans="1:4" s="39" customFormat="1" ht="12.75" customHeight="1" x14ac:dyDescent="0.3">
      <c r="A87" s="47">
        <v>503</v>
      </c>
      <c r="B87" s="45" t="s">
        <v>187</v>
      </c>
      <c r="C87" s="59" t="s">
        <v>188</v>
      </c>
      <c r="D87" s="60">
        <v>411422432</v>
      </c>
    </row>
    <row r="88" spans="1:4" s="39" customFormat="1" ht="14.25" customHeight="1" x14ac:dyDescent="0.3">
      <c r="A88" s="47">
        <v>504</v>
      </c>
      <c r="B88" s="48" t="s">
        <v>189</v>
      </c>
      <c r="C88" s="61">
        <v>25</v>
      </c>
      <c r="D88" s="61" t="s">
        <v>190</v>
      </c>
    </row>
    <row r="89" spans="1:4" s="39" customFormat="1" ht="18.75" customHeight="1" x14ac:dyDescent="0.3">
      <c r="A89" s="47" t="s">
        <v>191</v>
      </c>
      <c r="B89" s="48" t="s">
        <v>192</v>
      </c>
      <c r="C89" s="61" t="s">
        <v>121</v>
      </c>
      <c r="D89" s="61" t="s">
        <v>193</v>
      </c>
    </row>
    <row r="90" spans="1:4" s="39" customFormat="1" ht="15" customHeight="1" x14ac:dyDescent="0.3">
      <c r="A90" s="47" t="s">
        <v>194</v>
      </c>
      <c r="B90" s="48" t="s">
        <v>195</v>
      </c>
      <c r="C90" s="62">
        <v>37</v>
      </c>
      <c r="D90" s="61" t="s">
        <v>196</v>
      </c>
    </row>
    <row r="91" spans="1:4" s="39" customFormat="1" ht="45" customHeight="1" x14ac:dyDescent="0.3">
      <c r="A91" s="47" t="s">
        <v>197</v>
      </c>
      <c r="B91" s="48" t="s">
        <v>198</v>
      </c>
      <c r="C91" s="61" t="s">
        <v>121</v>
      </c>
      <c r="D91" s="63">
        <v>4270</v>
      </c>
    </row>
    <row r="92" spans="1:4" s="39" customFormat="1" ht="43.2" hidden="1" x14ac:dyDescent="0.3">
      <c r="A92" s="47" t="s">
        <v>199</v>
      </c>
      <c r="B92" s="48" t="s">
        <v>200</v>
      </c>
      <c r="C92" s="61" t="s">
        <v>121</v>
      </c>
      <c r="D92" s="63">
        <v>4270</v>
      </c>
    </row>
    <row r="93" spans="1:4" s="39" customFormat="1" hidden="1" x14ac:dyDescent="0.3">
      <c r="A93" s="47" t="s">
        <v>201</v>
      </c>
      <c r="B93" s="45" t="s">
        <v>202</v>
      </c>
      <c r="C93" s="50" t="s">
        <v>117</v>
      </c>
      <c r="D93" s="60">
        <v>404415</v>
      </c>
    </row>
    <row r="94" spans="1:4" s="39" customFormat="1" hidden="1" x14ac:dyDescent="0.3">
      <c r="A94" s="47" t="s">
        <v>203</v>
      </c>
      <c r="B94" s="48" t="s">
        <v>204</v>
      </c>
      <c r="C94" s="50" t="s">
        <v>205</v>
      </c>
      <c r="D94" s="64">
        <v>425</v>
      </c>
    </row>
    <row r="95" spans="1:4" s="39" customFormat="1" ht="28.8" hidden="1" x14ac:dyDescent="0.3">
      <c r="A95" s="47" t="s">
        <v>206</v>
      </c>
      <c r="B95" s="45" t="s">
        <v>207</v>
      </c>
      <c r="C95" s="50" t="s">
        <v>117</v>
      </c>
      <c r="D95" s="60">
        <v>404415</v>
      </c>
    </row>
    <row r="96" spans="1:4" s="39" customFormat="1" ht="28.8" hidden="1" x14ac:dyDescent="0.3">
      <c r="A96" s="47" t="s">
        <v>208</v>
      </c>
      <c r="B96" s="48" t="s">
        <v>209</v>
      </c>
      <c r="C96" s="50" t="s">
        <v>205</v>
      </c>
      <c r="D96" s="64">
        <v>425</v>
      </c>
    </row>
    <row r="97" spans="1:4" s="39" customFormat="1" ht="31.5" customHeight="1" x14ac:dyDescent="0.3">
      <c r="A97" s="47" t="s">
        <v>210</v>
      </c>
      <c r="B97" s="45" t="s">
        <v>211</v>
      </c>
      <c r="C97" s="50" t="s">
        <v>117</v>
      </c>
      <c r="D97" s="60">
        <v>404415</v>
      </c>
    </row>
    <row r="98" spans="1:4" s="39" customFormat="1" ht="46.5" customHeight="1" x14ac:dyDescent="0.3">
      <c r="A98" s="47" t="s">
        <v>212</v>
      </c>
      <c r="B98" s="48" t="s">
        <v>213</v>
      </c>
      <c r="C98" s="50" t="s">
        <v>205</v>
      </c>
      <c r="D98" s="64">
        <v>425</v>
      </c>
    </row>
    <row r="99" spans="1:4" s="39" customFormat="1" ht="19.5" customHeight="1" x14ac:dyDescent="0.25">
      <c r="A99" s="65">
        <v>505</v>
      </c>
      <c r="B99" s="45" t="s">
        <v>214</v>
      </c>
      <c r="C99" s="62" t="s">
        <v>182</v>
      </c>
      <c r="D99" s="60">
        <v>411422432</v>
      </c>
    </row>
    <row r="100" spans="1:4" s="39" customFormat="1" ht="19.5" customHeight="1" x14ac:dyDescent="0.3">
      <c r="A100" s="47" t="s">
        <v>215</v>
      </c>
      <c r="B100" s="45" t="s">
        <v>216</v>
      </c>
      <c r="C100" s="61" t="s">
        <v>217</v>
      </c>
      <c r="D100" s="60" t="s">
        <v>218</v>
      </c>
    </row>
    <row r="101" spans="1:4" s="39" customFormat="1" ht="19.5" customHeight="1" x14ac:dyDescent="0.3">
      <c r="A101" s="47" t="s">
        <v>219</v>
      </c>
      <c r="B101" s="45" t="s">
        <v>220</v>
      </c>
      <c r="C101" s="61" t="s">
        <v>217</v>
      </c>
      <c r="D101" s="60" t="s">
        <v>218</v>
      </c>
    </row>
    <row r="102" spans="1:4" s="39" customFormat="1" ht="19.5" customHeight="1" x14ac:dyDescent="0.3">
      <c r="A102" s="47" t="s">
        <v>221</v>
      </c>
      <c r="B102" s="45" t="s">
        <v>222</v>
      </c>
      <c r="C102" s="60" t="s">
        <v>217</v>
      </c>
      <c r="D102" s="60" t="s">
        <v>218</v>
      </c>
    </row>
    <row r="103" spans="1:4" s="39" customFormat="1" ht="19.5" customHeight="1" x14ac:dyDescent="0.3">
      <c r="A103" s="47" t="s">
        <v>223</v>
      </c>
      <c r="B103" s="45" t="s">
        <v>224</v>
      </c>
      <c r="C103" s="60">
        <v>25</v>
      </c>
      <c r="D103" s="60" t="s">
        <v>225</v>
      </c>
    </row>
    <row r="104" spans="1:4" s="39" customFormat="1" ht="19.5" customHeight="1" x14ac:dyDescent="0.3">
      <c r="A104" s="47" t="s">
        <v>226</v>
      </c>
      <c r="B104" s="45" t="s">
        <v>227</v>
      </c>
      <c r="C104" s="60">
        <v>25</v>
      </c>
      <c r="D104" s="60">
        <v>411422432</v>
      </c>
    </row>
    <row r="105" spans="1:4" s="39" customFormat="1" ht="19.5" customHeight="1" x14ac:dyDescent="0.3">
      <c r="A105" s="47" t="s">
        <v>228</v>
      </c>
      <c r="B105" s="45" t="s">
        <v>229</v>
      </c>
      <c r="C105" s="66" t="s">
        <v>182</v>
      </c>
      <c r="D105" s="60">
        <v>411422432</v>
      </c>
    </row>
    <row r="106" spans="1:4" s="39" customFormat="1" ht="15" customHeight="1" x14ac:dyDescent="0.3">
      <c r="A106" s="47">
        <v>509</v>
      </c>
      <c r="B106" s="45" t="s">
        <v>230</v>
      </c>
      <c r="C106" s="66" t="s">
        <v>182</v>
      </c>
      <c r="D106" s="60">
        <v>411422432</v>
      </c>
    </row>
    <row r="107" spans="1:4" s="39" customFormat="1" ht="19.5" customHeight="1" x14ac:dyDescent="0.3">
      <c r="A107" s="47" t="s">
        <v>231</v>
      </c>
      <c r="B107" s="45" t="s">
        <v>232</v>
      </c>
      <c r="C107" s="66" t="s">
        <v>182</v>
      </c>
      <c r="D107" s="60">
        <v>411422432</v>
      </c>
    </row>
    <row r="108" spans="1:4" s="39" customFormat="1" hidden="1" x14ac:dyDescent="0.3">
      <c r="A108" s="47">
        <v>510</v>
      </c>
      <c r="B108" s="48" t="s">
        <v>233</v>
      </c>
      <c r="C108" s="66" t="s">
        <v>234</v>
      </c>
      <c r="D108" s="64">
        <v>411422432</v>
      </c>
    </row>
    <row r="109" spans="1:4" s="39" customFormat="1" ht="15" customHeight="1" x14ac:dyDescent="0.3">
      <c r="A109" s="47">
        <v>511</v>
      </c>
      <c r="B109" s="45" t="s">
        <v>235</v>
      </c>
      <c r="C109" s="66" t="s">
        <v>182</v>
      </c>
      <c r="D109" s="60">
        <v>411422432</v>
      </c>
    </row>
    <row r="110" spans="1:4" s="39" customFormat="1" ht="15" customHeight="1" x14ac:dyDescent="0.3">
      <c r="A110" s="47">
        <v>512</v>
      </c>
      <c r="B110" s="45" t="s">
        <v>236</v>
      </c>
      <c r="C110" s="66" t="s">
        <v>182</v>
      </c>
      <c r="D110" s="60">
        <v>411422432</v>
      </c>
    </row>
    <row r="111" spans="1:4" s="39" customFormat="1" ht="15" customHeight="1" x14ac:dyDescent="0.3">
      <c r="A111" s="47">
        <v>513</v>
      </c>
      <c r="B111" s="45" t="s">
        <v>237</v>
      </c>
      <c r="C111" s="66" t="s">
        <v>182</v>
      </c>
      <c r="D111" s="60">
        <v>411422432</v>
      </c>
    </row>
    <row r="112" spans="1:4" s="39" customFormat="1" ht="15" customHeight="1" x14ac:dyDescent="0.3">
      <c r="A112" s="47" t="s">
        <v>238</v>
      </c>
      <c r="B112" s="45" t="s">
        <v>239</v>
      </c>
      <c r="C112" s="66" t="s">
        <v>182</v>
      </c>
      <c r="D112" s="60">
        <v>411422432</v>
      </c>
    </row>
    <row r="113" spans="1:4" s="39" customFormat="1" ht="15" customHeight="1" x14ac:dyDescent="0.3">
      <c r="A113" s="47">
        <v>514</v>
      </c>
      <c r="B113" s="45" t="s">
        <v>240</v>
      </c>
      <c r="C113" s="66" t="s">
        <v>182</v>
      </c>
      <c r="D113" s="60">
        <v>411422432</v>
      </c>
    </row>
    <row r="114" spans="1:4" s="39" customFormat="1" ht="15" customHeight="1" x14ac:dyDescent="0.3">
      <c r="A114" s="47">
        <v>515</v>
      </c>
      <c r="B114" s="45" t="s">
        <v>241</v>
      </c>
      <c r="C114" s="66" t="s">
        <v>182</v>
      </c>
      <c r="D114" s="60">
        <v>411422432</v>
      </c>
    </row>
    <row r="115" spans="1:4" s="39" customFormat="1" ht="15" customHeight="1" x14ac:dyDescent="0.3">
      <c r="A115" s="47">
        <v>516</v>
      </c>
      <c r="B115" s="45" t="s">
        <v>242</v>
      </c>
      <c r="C115" s="66" t="s">
        <v>182</v>
      </c>
      <c r="D115" s="60">
        <v>411422432</v>
      </c>
    </row>
    <row r="116" spans="1:4" s="39" customFormat="1" ht="15" customHeight="1" x14ac:dyDescent="0.3">
      <c r="A116" s="47">
        <v>517</v>
      </c>
      <c r="B116" s="45" t="s">
        <v>243</v>
      </c>
      <c r="C116" s="66" t="s">
        <v>182</v>
      </c>
      <c r="D116" s="60">
        <v>411422432</v>
      </c>
    </row>
    <row r="117" spans="1:4" s="39" customFormat="1" ht="15" customHeight="1" x14ac:dyDescent="0.3">
      <c r="A117" s="47">
        <v>518</v>
      </c>
      <c r="B117" s="45" t="s">
        <v>244</v>
      </c>
      <c r="C117" s="66" t="s">
        <v>182</v>
      </c>
      <c r="D117" s="60">
        <v>411422432</v>
      </c>
    </row>
    <row r="118" spans="1:4" s="39" customFormat="1" ht="15" customHeight="1" x14ac:dyDescent="0.3">
      <c r="A118" s="47">
        <v>519</v>
      </c>
      <c r="B118" s="45" t="s">
        <v>245</v>
      </c>
      <c r="C118" s="66" t="s">
        <v>182</v>
      </c>
      <c r="D118" s="60">
        <v>411422432</v>
      </c>
    </row>
    <row r="119" spans="1:4" s="39" customFormat="1" ht="15" customHeight="1" x14ac:dyDescent="0.3">
      <c r="A119" s="47" t="s">
        <v>246</v>
      </c>
      <c r="B119" s="45" t="s">
        <v>247</v>
      </c>
      <c r="C119" s="66" t="s">
        <v>182</v>
      </c>
      <c r="D119" s="60">
        <v>411422432</v>
      </c>
    </row>
    <row r="120" spans="1:4" s="39" customFormat="1" ht="19.5" customHeight="1" x14ac:dyDescent="0.3">
      <c r="A120" s="47" t="s">
        <v>248</v>
      </c>
      <c r="B120" s="45" t="s">
        <v>249</v>
      </c>
      <c r="C120" s="66" t="s">
        <v>250</v>
      </c>
      <c r="D120" s="60">
        <v>411422432</v>
      </c>
    </row>
    <row r="121" spans="1:4" s="39" customFormat="1" ht="19.5" customHeight="1" x14ac:dyDescent="0.3">
      <c r="A121" s="47" t="s">
        <v>251</v>
      </c>
      <c r="B121" s="45" t="s">
        <v>252</v>
      </c>
      <c r="C121" s="66" t="s">
        <v>250</v>
      </c>
      <c r="D121" s="60">
        <v>411422432</v>
      </c>
    </row>
    <row r="122" spans="1:4" s="39" customFormat="1" ht="30" customHeight="1" x14ac:dyDescent="0.3">
      <c r="A122" s="47" t="s">
        <v>253</v>
      </c>
      <c r="B122" s="45" t="s">
        <v>254</v>
      </c>
      <c r="C122" s="60">
        <v>0</v>
      </c>
      <c r="D122" s="60">
        <v>411422432</v>
      </c>
    </row>
    <row r="123" spans="1:4" s="39" customFormat="1" ht="15" customHeight="1" x14ac:dyDescent="0.3">
      <c r="A123" s="47" t="s">
        <v>255</v>
      </c>
      <c r="B123" s="45" t="s">
        <v>256</v>
      </c>
      <c r="C123" s="66" t="s">
        <v>250</v>
      </c>
      <c r="D123" s="60">
        <v>411422432</v>
      </c>
    </row>
    <row r="124" spans="1:4" s="39" customFormat="1" hidden="1" x14ac:dyDescent="0.3">
      <c r="A124" s="47" t="s">
        <v>257</v>
      </c>
      <c r="B124" s="45" t="s">
        <v>258</v>
      </c>
      <c r="C124" s="66" t="s">
        <v>250</v>
      </c>
      <c r="D124" s="60">
        <v>411422432</v>
      </c>
    </row>
    <row r="125" spans="1:4" s="39" customFormat="1" ht="28.8" hidden="1" x14ac:dyDescent="0.3">
      <c r="A125" s="47">
        <v>521</v>
      </c>
      <c r="B125" s="48" t="s">
        <v>259</v>
      </c>
      <c r="C125" s="64" t="s">
        <v>260</v>
      </c>
      <c r="D125" s="64">
        <v>408419429</v>
      </c>
    </row>
    <row r="126" spans="1:4" s="39" customFormat="1" ht="15" customHeight="1" x14ac:dyDescent="0.3">
      <c r="A126" s="47" t="s">
        <v>261</v>
      </c>
      <c r="B126" s="45" t="s">
        <v>262</v>
      </c>
      <c r="C126" s="66" t="s">
        <v>250</v>
      </c>
      <c r="D126" s="46" t="s">
        <v>263</v>
      </c>
    </row>
    <row r="127" spans="1:4" s="39" customFormat="1" hidden="1" x14ac:dyDescent="0.3">
      <c r="A127" s="47">
        <v>525</v>
      </c>
      <c r="B127" s="45" t="s">
        <v>264</v>
      </c>
      <c r="C127" s="52" t="s">
        <v>172</v>
      </c>
      <c r="D127" s="60">
        <v>411422432</v>
      </c>
    </row>
    <row r="128" spans="1:4" ht="15" customHeight="1" x14ac:dyDescent="0.3">
      <c r="A128" s="68"/>
      <c r="B128" s="67" t="s">
        <v>265</v>
      </c>
      <c r="C128" s="68"/>
      <c r="D128" s="68"/>
    </row>
    <row r="129" spans="1:4" ht="30" customHeight="1" x14ac:dyDescent="0.3">
      <c r="B129" s="130" t="s">
        <v>266</v>
      </c>
      <c r="C129" s="130"/>
      <c r="D129" s="130"/>
    </row>
    <row r="130" spans="1:4" ht="22.5" customHeight="1" x14ac:dyDescent="0.3">
      <c r="B130" s="130" t="s">
        <v>267</v>
      </c>
      <c r="C130" s="130"/>
      <c r="D130" s="130"/>
    </row>
    <row r="131" spans="1:4" ht="72" customHeight="1" x14ac:dyDescent="0.3">
      <c r="B131" s="130" t="s">
        <v>268</v>
      </c>
      <c r="C131" s="130"/>
      <c r="D131" s="130"/>
    </row>
    <row r="132" spans="1:4" ht="32.25" customHeight="1" x14ac:dyDescent="0.3">
      <c r="B132" s="130" t="s">
        <v>269</v>
      </c>
      <c r="C132" s="130"/>
      <c r="D132" s="130"/>
    </row>
    <row r="133" spans="1:4" ht="15" hidden="1" customHeight="1" x14ac:dyDescent="0.3">
      <c r="A133" s="69"/>
      <c r="B133" s="69"/>
      <c r="C133" s="69"/>
      <c r="D133" s="69"/>
    </row>
    <row r="134" spans="1:4" ht="15" hidden="1" customHeight="1" x14ac:dyDescent="0.3">
      <c r="A134" s="69"/>
      <c r="B134" s="69"/>
      <c r="C134" s="69"/>
      <c r="D134" s="69"/>
    </row>
    <row r="135" spans="1:4" ht="47.25" customHeight="1" x14ac:dyDescent="0.3">
      <c r="B135" s="130" t="s">
        <v>270</v>
      </c>
      <c r="C135" s="130"/>
      <c r="D135" s="130"/>
    </row>
    <row r="136" spans="1:4" ht="15" customHeight="1" x14ac:dyDescent="0.3"/>
    <row r="137" spans="1:4" ht="15" customHeight="1" x14ac:dyDescent="0.3"/>
    <row r="138" spans="1:4" ht="15" customHeight="1" x14ac:dyDescent="0.3"/>
    <row r="139" spans="1:4" ht="15" customHeight="1" x14ac:dyDescent="0.3"/>
    <row r="140" spans="1:4" ht="15" customHeight="1" x14ac:dyDescent="0.3"/>
    <row r="141" spans="1:4" ht="15" customHeight="1" x14ac:dyDescent="0.3"/>
    <row r="142" spans="1:4" ht="15" customHeight="1" x14ac:dyDescent="0.3"/>
    <row r="143" spans="1:4" ht="15" customHeight="1" x14ac:dyDescent="0.3"/>
    <row r="144" spans="1:4" ht="15" customHeight="1" x14ac:dyDescent="0.3"/>
    <row r="145" ht="15" customHeight="1" x14ac:dyDescent="0.3"/>
    <row r="146" ht="15" customHeight="1" x14ac:dyDescent="0.3"/>
    <row r="147" ht="15" customHeight="1" x14ac:dyDescent="0.3"/>
    <row r="148" ht="15" customHeight="1" x14ac:dyDescent="0.3"/>
    <row r="149" ht="15" customHeight="1" x14ac:dyDescent="0.3"/>
    <row r="150" ht="15" customHeight="1" x14ac:dyDescent="0.3"/>
    <row r="151" ht="15" customHeight="1" x14ac:dyDescent="0.3"/>
    <row r="152" ht="15" customHeight="1" x14ac:dyDescent="0.3"/>
    <row r="153" ht="15" customHeight="1" x14ac:dyDescent="0.3"/>
    <row r="154" ht="15" customHeight="1" x14ac:dyDescent="0.3"/>
    <row r="155" ht="15" customHeight="1" x14ac:dyDescent="0.3"/>
    <row r="156" ht="15" customHeight="1" x14ac:dyDescent="0.3"/>
    <row r="157" ht="15" customHeight="1" x14ac:dyDescent="0.3"/>
    <row r="158" ht="15" customHeight="1" x14ac:dyDescent="0.3"/>
    <row r="159" ht="15" customHeight="1" x14ac:dyDescent="0.3"/>
    <row r="160" ht="15" customHeight="1" x14ac:dyDescent="0.3"/>
    <row r="161" ht="15" customHeight="1" x14ac:dyDescent="0.3"/>
    <row r="162" ht="15" customHeight="1" x14ac:dyDescent="0.3"/>
    <row r="163" ht="15" customHeight="1" x14ac:dyDescent="0.3"/>
    <row r="164" ht="15" customHeight="1" x14ac:dyDescent="0.3"/>
    <row r="165" ht="15" customHeight="1" x14ac:dyDescent="0.3"/>
    <row r="166" ht="15" customHeight="1" x14ac:dyDescent="0.3"/>
    <row r="167" ht="15" customHeight="1" x14ac:dyDescent="0.3"/>
    <row r="168" ht="15" customHeight="1" x14ac:dyDescent="0.3"/>
    <row r="169" ht="15" customHeight="1" x14ac:dyDescent="0.3"/>
    <row r="170" ht="15" customHeight="1" x14ac:dyDescent="0.3"/>
    <row r="171" ht="27.45" hidden="1" customHeight="1" x14ac:dyDescent="0.3"/>
    <row r="172" ht="27.45" hidden="1" customHeight="1" x14ac:dyDescent="0.3"/>
    <row r="173" ht="27.45" hidden="1" customHeight="1" x14ac:dyDescent="0.3"/>
    <row r="174" ht="27.45" hidden="1" customHeight="1" x14ac:dyDescent="0.3"/>
    <row r="175" ht="27.45" hidden="1" customHeight="1" x14ac:dyDescent="0.3"/>
    <row r="176" ht="27.45" hidden="1" customHeight="1" x14ac:dyDescent="0.3"/>
    <row r="177" ht="12.75" customHeight="1" x14ac:dyDescent="0.3"/>
    <row r="178" ht="12.75" customHeight="1" x14ac:dyDescent="0.3"/>
    <row r="179" ht="409.6" hidden="1" customHeight="1" x14ac:dyDescent="0.3"/>
    <row r="180" ht="409.6" hidden="1" customHeight="1" x14ac:dyDescent="0.3"/>
  </sheetData>
  <mergeCells count="5">
    <mergeCell ref="B131:D131"/>
    <mergeCell ref="B132:D132"/>
    <mergeCell ref="B135:D135"/>
    <mergeCell ref="B129:D129"/>
    <mergeCell ref="B130:D130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a7b9c8-75da-409b-8aa2-024bd3215a4c" xsi:nil="true"/>
    <lcf76f155ced4ddcb4097134ff3c332f xmlns="51583f38-6b34-4a53-b61a-9b0f1a76826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58503C180B79408DB858F3B1AC83A4" ma:contentTypeVersion="17" ma:contentTypeDescription="Create a new document." ma:contentTypeScope="" ma:versionID="f9f12f6bd98126fbd29bf543db87fd41">
  <xsd:schema xmlns:xsd="http://www.w3.org/2001/XMLSchema" xmlns:xs="http://www.w3.org/2001/XMLSchema" xmlns:p="http://schemas.microsoft.com/office/2006/metadata/properties" xmlns:ns2="51583f38-6b34-4a53-b61a-9b0f1a768265" xmlns:ns3="6fa7b9c8-75da-409b-8aa2-024bd3215a4c" targetNamespace="http://schemas.microsoft.com/office/2006/metadata/properties" ma:root="true" ma:fieldsID="b56b57f6d733b2051704b18ac720fea8" ns2:_="" ns3:_="">
    <xsd:import namespace="51583f38-6b34-4a53-b61a-9b0f1a768265"/>
    <xsd:import namespace="6fa7b9c8-75da-409b-8aa2-024bd3215a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83f38-6b34-4a53-b61a-9b0f1a7682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ed24c46a-b909-48e7-9981-7bfb7d9e87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a7b9c8-75da-409b-8aa2-024bd3215a4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b71515e-653e-44d8-be88-bc38976a3819}" ma:internalName="TaxCatchAll" ma:showField="CatchAllData" ma:web="6fa7b9c8-75da-409b-8aa2-024bd3215a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0E7B45-3017-4C0F-8A18-798CC71234DF}">
  <ds:schemaRefs>
    <ds:schemaRef ds:uri="http://schemas.microsoft.com/office/2006/metadata/properties"/>
    <ds:schemaRef ds:uri="http://schemas.microsoft.com/office/infopath/2007/PartnerControls"/>
    <ds:schemaRef ds:uri="249d8acd-ef89-4b8b-98af-1a49d4dbc612"/>
    <ds:schemaRef ds:uri="6fa7b9c8-75da-409b-8aa2-024bd3215a4c"/>
  </ds:schemaRefs>
</ds:datastoreItem>
</file>

<file path=customXml/itemProps2.xml><?xml version="1.0" encoding="utf-8"?>
<ds:datastoreItem xmlns:ds="http://schemas.openxmlformats.org/officeDocument/2006/customXml" ds:itemID="{6E3D8E6C-08B7-4F88-9E68-13461D7646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72D139-DB79-455C-984D-BCA310AE91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MODELO RESUMEN CAJA CHICA</vt:lpstr>
      <vt:lpstr>PROYECCION DE GASTO</vt:lpstr>
      <vt:lpstr>RENTA</vt:lpstr>
      <vt:lpstr>RETENCION</vt:lpstr>
      <vt:lpstr>RETENCIONES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Silvia Gabriela Anrrango Calderón</dc:creator>
  <cp:keywords/>
  <dc:description/>
  <cp:lastModifiedBy>CARLA ANDREA BARRAGAN MONTERO</cp:lastModifiedBy>
  <cp:revision/>
  <dcterms:created xsi:type="dcterms:W3CDTF">2017-07-21T20:42:51Z</dcterms:created>
  <dcterms:modified xsi:type="dcterms:W3CDTF">2025-08-26T16:10:22Z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0x0101000758503C180B79408DB858F3B1AC83A4</vt:lpwstr>
  </property>
  <property fmtid="{D5CDD505-2E9C-101B-9397-08002B2CF9AE}" pid="3" name="Order">
    <vt:r8>32600</vt:r8>
  </property>
</Properties>
</file>