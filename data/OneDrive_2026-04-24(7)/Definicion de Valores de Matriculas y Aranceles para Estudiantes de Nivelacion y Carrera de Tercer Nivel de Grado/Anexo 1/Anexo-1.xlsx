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echeverria\Documents\Procesos\Aprobados\1. Gestión Académica\4. Definición Matrículas y Aranceles\Aprobado\"/>
    </mc:Choice>
  </mc:AlternateContent>
  <xr:revisionPtr revIDLastSave="0" documentId="13_ncr:1_{F8F9238B-E185-422C-8DDB-08A78D98524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rrera" sheetId="1" r:id="rId1"/>
    <sheet name="Nivelació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3" l="1"/>
  <c r="D14" i="3" l="1"/>
  <c r="E19" i="3" s="1"/>
  <c r="E33" i="3"/>
  <c r="E34" i="3"/>
  <c r="E35" i="3"/>
  <c r="E36" i="3"/>
  <c r="E32" i="3"/>
  <c r="E22" i="3" l="1"/>
  <c r="E21" i="3"/>
  <c r="E23" i="3"/>
  <c r="E20" i="3"/>
  <c r="D12" i="1"/>
  <c r="D14" i="1" l="1"/>
  <c r="E23" i="1" s="1"/>
  <c r="E34" i="1"/>
  <c r="E33" i="1"/>
  <c r="E36" i="1"/>
  <c r="E35" i="1"/>
  <c r="E37" i="1"/>
  <c r="E21" i="1" l="1"/>
  <c r="G21" i="1" s="1"/>
  <c r="E22" i="1"/>
  <c r="G22" i="1" s="1"/>
  <c r="E20" i="1"/>
  <c r="F20" i="1" s="1"/>
  <c r="E24" i="1"/>
  <c r="F24" i="1" s="1"/>
  <c r="F23" i="1"/>
  <c r="G23" i="1"/>
  <c r="F22" i="1"/>
  <c r="G20" i="1" l="1"/>
  <c r="G24" i="1"/>
  <c r="F21" i="1"/>
</calcChain>
</file>

<file path=xl/sharedStrings.xml><?xml version="1.0" encoding="utf-8"?>
<sst xmlns="http://schemas.openxmlformats.org/spreadsheetml/2006/main" count="92" uniqueCount="42">
  <si>
    <t>Anexo 1</t>
  </si>
  <si>
    <t>Cálculo de Valores de Aranceles y Matrículas</t>
  </si>
  <si>
    <t>Costo óptimo por período académico (SENESCYT)</t>
  </si>
  <si>
    <t>COPA =</t>
  </si>
  <si>
    <t>Promedio horas por período académico (docencia y teórico práctico)</t>
  </si>
  <si>
    <t>Grupos Socioeconómicos</t>
  </si>
  <si>
    <t>Ponderación</t>
  </si>
  <si>
    <t>Grupo</t>
  </si>
  <si>
    <t>GS1</t>
  </si>
  <si>
    <t>GS2</t>
  </si>
  <si>
    <t>GS3</t>
  </si>
  <si>
    <t>GS4</t>
  </si>
  <si>
    <t>GS5</t>
  </si>
  <si>
    <t>PHPA =</t>
  </si>
  <si>
    <t>Costo por hora por asignatura</t>
  </si>
  <si>
    <t>CHPA =</t>
  </si>
  <si>
    <t>CO =</t>
  </si>
  <si>
    <t>Costo óptimo anual (SENESCYT)</t>
  </si>
  <si>
    <t>Grupo socioeconómico 1 (alta vulnerabilidad económica)</t>
  </si>
  <si>
    <t>Grupo socioeconómico 2 (media vulnerabilidad económica)</t>
  </si>
  <si>
    <t>Grupo socioeconómico 3 (baja vulnerabilidad económica)</t>
  </si>
  <si>
    <t>Grupo socioeconómico 4 (buenas condiciones socioeconómicas)</t>
  </si>
  <si>
    <t>Costo por Hora por Asignatura (CHPA)</t>
  </si>
  <si>
    <t>Costo por Hora por Asignatura por Grupo Económico (CHPA GS)</t>
  </si>
  <si>
    <t>CHPA GS
Primera Matrícula</t>
  </si>
  <si>
    <t>CHPA GS
Segunda Matrícula</t>
  </si>
  <si>
    <t>CHPA GS
Tercera Matrícula</t>
  </si>
  <si>
    <t>Aranceles</t>
  </si>
  <si>
    <t>Los costos por hora obtenidos para primera, segunda y tercera matrícula deberán multiplicarse por el número de horas de las asignaturas que tomará el estudiante en el período académico, según corresponda.</t>
  </si>
  <si>
    <t>VM GS</t>
  </si>
  <si>
    <t>Porcentaje del valor del arancel</t>
  </si>
  <si>
    <t>Estudiantes de Carrera</t>
  </si>
  <si>
    <t>Estudiantes de Nivelación</t>
  </si>
  <si>
    <t>PHNV =</t>
  </si>
  <si>
    <t>CHNV =</t>
  </si>
  <si>
    <t>CHNV GS</t>
  </si>
  <si>
    <t>VMNV GS</t>
  </si>
  <si>
    <t>Matrículas</t>
  </si>
  <si>
    <t>Costo por Hora por Asignatura (CHNV)</t>
  </si>
  <si>
    <t>Costo por Hora por Asignatura por Grupo Económico (CHNV GS)</t>
  </si>
  <si>
    <t>Los estudiantes con pérdida de gratuidad, que aprobaron nivelación antes del segundo período académico del 2021, y no aprobaron la asignatura de inglés, deberán multiplicar el costo por hora (CHNV GS) por el número de horas de dicha asignatura de inglés (no la totalidad del curso de nivelación).</t>
  </si>
  <si>
    <t>Grupo socioeconómico 5 (muy buenas condiciones socioeconómicas)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</si>
</sst>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;&quot;$&quot;\-#,##0.00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u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43" fontId="3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3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43" fontId="4" fillId="2" borderId="0" xfId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right" vertical="center"/>
    </xf>
    <xf numFmtId="43" fontId="4" fillId="0" borderId="0" xfId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9" fontId="3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9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9" fontId="3" fillId="0" borderId="0" xfId="0" applyNumberFormat="1" applyFont="1" applyAlignment="1">
      <alignment horizontal="right" vertical="center"/>
    </xf>
    <xf numFmtId="7" fontId="3" fillId="0" borderId="0" xfId="1" applyNumberFormat="1" applyFont="1" applyAlignment="1">
      <alignment vertical="center"/>
    </xf>
    <xf numFmtId="7" fontId="3" fillId="3" borderId="0" xfId="1" applyNumberFormat="1" applyFont="1" applyFill="1" applyAlignment="1">
      <alignment vertical="center"/>
    </xf>
    <xf numFmtId="7" fontId="3" fillId="0" borderId="1" xfId="1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304800</xdr:colOff>
      <xdr:row>1</xdr:row>
      <xdr:rowOff>7620</xdr:rowOff>
    </xdr:from>
    <xdr:to>
      <xdr:col>7</xdr:col>
      <xdr:colOff>53340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3028" t="24921" r="21451" b="25026"/>
        <a:stretch/>
      </xdr:blipFill>
      <xdr:spPr>
        <a:xfrm>
          <a:off x="7513320" y="182880"/>
          <a:ext cx="1341120" cy="5181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1</xdr:row>
      <xdr:rowOff>83820</xdr:rowOff>
    </xdr:from>
    <xdr:to>
      <xdr:col>4</xdr:col>
      <xdr:colOff>552450</xdr:colOff>
      <xdr:row>4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3028" t="24921" r="21451" b="25026"/>
        <a:stretch/>
      </xdr:blipFill>
      <xdr:spPr>
        <a:xfrm>
          <a:off x="6164580" y="259080"/>
          <a:ext cx="1341120" cy="518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7"/>
  <sheetViews>
    <sheetView showGridLines="0" topLeftCell="A7" workbookViewId="0">
      <selection activeCell="D21" sqref="D21"/>
    </sheetView>
  </sheetViews>
  <sheetFormatPr baseColWidth="10" defaultRowHeight="13.8" x14ac:dyDescent="0.3"/>
  <cols>
    <col min="1" max="1" width="5.44140625" style="4" customWidth="1"/>
    <col min="2" max="2" width="64.109375" style="4" customWidth="1"/>
    <col min="3" max="3" width="11.5546875" style="2"/>
    <col min="4" max="4" width="15.77734375" style="3" customWidth="1"/>
    <col min="5" max="5" width="10.88671875" style="4" customWidth="1"/>
    <col min="6" max="16384" width="11.5546875" style="4"/>
  </cols>
  <sheetData>
    <row r="2" spans="2:7" x14ac:dyDescent="0.3">
      <c r="B2" s="1" t="s">
        <v>0</v>
      </c>
    </row>
    <row r="4" spans="2:7" x14ac:dyDescent="0.3">
      <c r="B4" s="1" t="s">
        <v>1</v>
      </c>
    </row>
    <row r="5" spans="2:7" x14ac:dyDescent="0.3">
      <c r="B5" s="29" t="s">
        <v>31</v>
      </c>
    </row>
    <row r="6" spans="2:7" x14ac:dyDescent="0.3">
      <c r="B6" s="1"/>
    </row>
    <row r="7" spans="2:7" x14ac:dyDescent="0.3">
      <c r="B7" s="30" t="s">
        <v>27</v>
      </c>
      <c r="C7" s="30"/>
      <c r="D7" s="30"/>
      <c r="E7" s="30"/>
      <c r="F7" s="30"/>
      <c r="G7" s="30"/>
    </row>
    <row r="9" spans="2:7" x14ac:dyDescent="0.3">
      <c r="B9" s="11" t="s">
        <v>22</v>
      </c>
      <c r="C9" s="12"/>
      <c r="D9" s="13"/>
    </row>
    <row r="10" spans="2:7" s="17" customFormat="1" x14ac:dyDescent="0.3">
      <c r="B10" s="14"/>
      <c r="C10" s="15"/>
      <c r="D10" s="16"/>
    </row>
    <row r="11" spans="2:7" x14ac:dyDescent="0.3">
      <c r="B11" s="4" t="s">
        <v>17</v>
      </c>
      <c r="C11" s="5" t="s">
        <v>16</v>
      </c>
      <c r="D11" s="26">
        <v>0</v>
      </c>
    </row>
    <row r="12" spans="2:7" x14ac:dyDescent="0.3">
      <c r="B12" s="4" t="s">
        <v>2</v>
      </c>
      <c r="C12" s="5" t="s">
        <v>3</v>
      </c>
      <c r="D12" s="26">
        <f>+D11/2</f>
        <v>0</v>
      </c>
    </row>
    <row r="13" spans="2:7" x14ac:dyDescent="0.3">
      <c r="B13" s="6" t="s">
        <v>4</v>
      </c>
      <c r="C13" s="5" t="s">
        <v>13</v>
      </c>
      <c r="D13" s="3">
        <v>504</v>
      </c>
    </row>
    <row r="14" spans="2:7" x14ac:dyDescent="0.3">
      <c r="B14" s="9" t="s">
        <v>14</v>
      </c>
      <c r="C14" s="10" t="s">
        <v>15</v>
      </c>
      <c r="D14" s="27">
        <f>+D12/D13</f>
        <v>0</v>
      </c>
    </row>
    <row r="16" spans="2:7" x14ac:dyDescent="0.3">
      <c r="B16" s="11" t="s">
        <v>23</v>
      </c>
      <c r="C16" s="12"/>
      <c r="D16" s="13"/>
      <c r="E16" s="13"/>
      <c r="F16" s="13"/>
      <c r="G16" s="13"/>
    </row>
    <row r="18" spans="2:7" ht="41.4" x14ac:dyDescent="0.3">
      <c r="B18" s="32" t="s">
        <v>5</v>
      </c>
      <c r="C18" s="34" t="s">
        <v>7</v>
      </c>
      <c r="D18" s="34" t="s">
        <v>6</v>
      </c>
      <c r="E18" s="34" t="s">
        <v>24</v>
      </c>
      <c r="F18" s="18" t="s">
        <v>25</v>
      </c>
      <c r="G18" s="18" t="s">
        <v>26</v>
      </c>
    </row>
    <row r="19" spans="2:7" x14ac:dyDescent="0.3">
      <c r="B19" s="33"/>
      <c r="C19" s="35"/>
      <c r="D19" s="35"/>
      <c r="E19" s="35"/>
      <c r="F19" s="22">
        <v>0.1</v>
      </c>
      <c r="G19" s="22">
        <v>0.2</v>
      </c>
    </row>
    <row r="20" spans="2:7" x14ac:dyDescent="0.3">
      <c r="B20" s="21" t="s">
        <v>18</v>
      </c>
      <c r="C20" s="19" t="s">
        <v>8</v>
      </c>
      <c r="D20" s="20">
        <v>0.1</v>
      </c>
      <c r="E20" s="28">
        <f>+D20*$D$14</f>
        <v>0</v>
      </c>
      <c r="F20" s="28">
        <f>+E20*(1+$F$19)</f>
        <v>0</v>
      </c>
      <c r="G20" s="28">
        <f>+E20*(1+$G$19)</f>
        <v>0</v>
      </c>
    </row>
    <row r="21" spans="2:7" x14ac:dyDescent="0.3">
      <c r="B21" s="21" t="s">
        <v>19</v>
      </c>
      <c r="C21" s="8" t="s">
        <v>9</v>
      </c>
      <c r="D21" s="7">
        <v>0.15</v>
      </c>
      <c r="E21" s="28">
        <f>+D21*$D$14</f>
        <v>0</v>
      </c>
      <c r="F21" s="28">
        <f t="shared" ref="F21:F24" si="0">+E21*(1+$F$19)</f>
        <v>0</v>
      </c>
      <c r="G21" s="28">
        <f t="shared" ref="G21:G24" si="1">+E21*(1+$G$19)</f>
        <v>0</v>
      </c>
    </row>
    <row r="22" spans="2:7" x14ac:dyDescent="0.3">
      <c r="B22" s="21" t="s">
        <v>20</v>
      </c>
      <c r="C22" s="8" t="s">
        <v>10</v>
      </c>
      <c r="D22" s="7">
        <v>0.2</v>
      </c>
      <c r="E22" s="28">
        <f>+D22*$D$14</f>
        <v>0</v>
      </c>
      <c r="F22" s="28">
        <f t="shared" si="0"/>
        <v>0</v>
      </c>
      <c r="G22" s="28">
        <f t="shared" si="1"/>
        <v>0</v>
      </c>
    </row>
    <row r="23" spans="2:7" x14ac:dyDescent="0.3">
      <c r="B23" s="21" t="s">
        <v>21</v>
      </c>
      <c r="C23" s="8" t="s">
        <v>11</v>
      </c>
      <c r="D23" s="7">
        <v>0.25</v>
      </c>
      <c r="E23" s="28">
        <f>+D23*$D$14</f>
        <v>0</v>
      </c>
      <c r="F23" s="28">
        <f t="shared" si="0"/>
        <v>0</v>
      </c>
      <c r="G23" s="28">
        <f t="shared" si="1"/>
        <v>0</v>
      </c>
    </row>
    <row r="24" spans="2:7" x14ac:dyDescent="0.3">
      <c r="B24" s="21" t="s">
        <v>41</v>
      </c>
      <c r="C24" s="8" t="s">
        <v>12</v>
      </c>
      <c r="D24" s="7">
        <v>0.3</v>
      </c>
      <c r="E24" s="28">
        <f>+D24*$D$14</f>
        <v>0</v>
      </c>
      <c r="F24" s="28">
        <f t="shared" si="0"/>
        <v>0</v>
      </c>
      <c r="G24" s="28">
        <f t="shared" si="1"/>
        <v>0</v>
      </c>
    </row>
    <row r="26" spans="2:7" ht="31.8" customHeight="1" x14ac:dyDescent="0.3">
      <c r="B26" s="31" t="s">
        <v>28</v>
      </c>
      <c r="C26" s="31"/>
      <c r="D26" s="31"/>
      <c r="E26" s="31"/>
      <c r="F26" s="31"/>
      <c r="G26" s="31"/>
    </row>
    <row r="28" spans="2:7" x14ac:dyDescent="0.3">
      <c r="B28" s="30" t="s">
        <v>37</v>
      </c>
      <c r="C28" s="30"/>
      <c r="D28" s="30"/>
      <c r="E28" s="30"/>
      <c r="F28" s="30"/>
      <c r="G28" s="30"/>
    </row>
    <row r="30" spans="2:7" x14ac:dyDescent="0.3">
      <c r="B30" s="4" t="s">
        <v>30</v>
      </c>
      <c r="C30" s="25">
        <v>0.1</v>
      </c>
    </row>
    <row r="32" spans="2:7" ht="13.8" customHeight="1" x14ac:dyDescent="0.3">
      <c r="B32" s="23" t="s">
        <v>5</v>
      </c>
      <c r="C32" s="18" t="s">
        <v>7</v>
      </c>
      <c r="D32" s="18" t="s">
        <v>6</v>
      </c>
      <c r="E32" s="18" t="s">
        <v>29</v>
      </c>
    </row>
    <row r="33" spans="2:5" x14ac:dyDescent="0.3">
      <c r="B33" s="21" t="s">
        <v>18</v>
      </c>
      <c r="C33" s="19" t="s">
        <v>8</v>
      </c>
      <c r="D33" s="7">
        <v>0.1</v>
      </c>
      <c r="E33" s="28">
        <f>+D33*($C$30*$D$12)</f>
        <v>0</v>
      </c>
    </row>
    <row r="34" spans="2:5" x14ac:dyDescent="0.3">
      <c r="B34" s="21" t="s">
        <v>19</v>
      </c>
      <c r="C34" s="8" t="s">
        <v>9</v>
      </c>
      <c r="D34" s="7">
        <v>0.2</v>
      </c>
      <c r="E34" s="28">
        <f t="shared" ref="E34:E37" si="2">+D34*($C$30*$D$12)</f>
        <v>0</v>
      </c>
    </row>
    <row r="35" spans="2:5" x14ac:dyDescent="0.3">
      <c r="B35" s="21" t="s">
        <v>20</v>
      </c>
      <c r="C35" s="8" t="s">
        <v>10</v>
      </c>
      <c r="D35" s="7">
        <v>0.3</v>
      </c>
      <c r="E35" s="28">
        <f t="shared" si="2"/>
        <v>0</v>
      </c>
    </row>
    <row r="36" spans="2:5" x14ac:dyDescent="0.3">
      <c r="B36" s="21" t="s">
        <v>21</v>
      </c>
      <c r="C36" s="8" t="s">
        <v>11</v>
      </c>
      <c r="D36" s="7">
        <v>0.35</v>
      </c>
      <c r="E36" s="28">
        <f t="shared" si="2"/>
        <v>0</v>
      </c>
    </row>
    <row r="37" spans="2:5" x14ac:dyDescent="0.3">
      <c r="B37" s="21" t="s">
        <v>41</v>
      </c>
      <c r="C37" s="8" t="s">
        <v>12</v>
      </c>
      <c r="D37" s="7">
        <v>0.4</v>
      </c>
      <c r="E37" s="28">
        <f t="shared" si="2"/>
        <v>0</v>
      </c>
    </row>
  </sheetData>
  <mergeCells count="7">
    <mergeCell ref="B7:G7"/>
    <mergeCell ref="B26:G26"/>
    <mergeCell ref="B28:G28"/>
    <mergeCell ref="B18:B19"/>
    <mergeCell ref="C18:C19"/>
    <mergeCell ref="D18:D19"/>
    <mergeCell ref="E18:E1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36"/>
  <sheetViews>
    <sheetView showGridLines="0" tabSelected="1" topLeftCell="A13" workbookViewId="0">
      <selection activeCell="I21" sqref="I21"/>
    </sheetView>
  </sheetViews>
  <sheetFormatPr baseColWidth="10" defaultRowHeight="13.8" x14ac:dyDescent="0.3"/>
  <cols>
    <col min="1" max="1" width="5.44140625" style="4" customWidth="1"/>
    <col min="2" max="2" width="64.109375" style="4" customWidth="1"/>
    <col min="3" max="3" width="14.44140625" style="2" customWidth="1"/>
    <col min="4" max="4" width="17.33203125" style="3" customWidth="1"/>
    <col min="5" max="5" width="10.88671875" style="4" customWidth="1"/>
    <col min="6" max="16384" width="11.5546875" style="4"/>
  </cols>
  <sheetData>
    <row r="2" spans="2:5" x14ac:dyDescent="0.3">
      <c r="B2" s="1" t="s">
        <v>0</v>
      </c>
    </row>
    <row r="4" spans="2:5" x14ac:dyDescent="0.3">
      <c r="B4" s="1" t="s">
        <v>1</v>
      </c>
    </row>
    <row r="5" spans="2:5" x14ac:dyDescent="0.3">
      <c r="B5" s="29" t="s">
        <v>32</v>
      </c>
    </row>
    <row r="6" spans="2:5" x14ac:dyDescent="0.3">
      <c r="B6" s="1"/>
    </row>
    <row r="7" spans="2:5" x14ac:dyDescent="0.3">
      <c r="B7" s="30" t="s">
        <v>27</v>
      </c>
      <c r="C7" s="30"/>
      <c r="D7" s="30"/>
      <c r="E7" s="30"/>
    </row>
    <row r="9" spans="2:5" x14ac:dyDescent="0.3">
      <c r="B9" s="11" t="s">
        <v>38</v>
      </c>
      <c r="C9" s="12"/>
      <c r="D9" s="13"/>
    </row>
    <row r="10" spans="2:5" s="17" customFormat="1" x14ac:dyDescent="0.3">
      <c r="B10" s="14"/>
      <c r="C10" s="15"/>
      <c r="D10" s="16"/>
    </row>
    <row r="11" spans="2:5" x14ac:dyDescent="0.3">
      <c r="B11" s="4" t="s">
        <v>17</v>
      </c>
      <c r="C11" s="5" t="s">
        <v>16</v>
      </c>
      <c r="D11" s="26">
        <v>0</v>
      </c>
    </row>
    <row r="12" spans="2:5" x14ac:dyDescent="0.3">
      <c r="B12" s="4" t="s">
        <v>2</v>
      </c>
      <c r="C12" s="5" t="s">
        <v>3</v>
      </c>
      <c r="D12" s="26">
        <f>+D11/2</f>
        <v>0</v>
      </c>
    </row>
    <row r="13" spans="2:5" x14ac:dyDescent="0.3">
      <c r="B13" s="6" t="s">
        <v>4</v>
      </c>
      <c r="C13" s="5" t="s">
        <v>33</v>
      </c>
    </row>
    <row r="14" spans="2:5" x14ac:dyDescent="0.3">
      <c r="B14" s="9" t="s">
        <v>14</v>
      </c>
      <c r="C14" s="10" t="s">
        <v>34</v>
      </c>
      <c r="D14" s="27" t="e">
        <f>+D12/D13</f>
        <v>#DIV/0!</v>
      </c>
    </row>
    <row r="16" spans="2:5" x14ac:dyDescent="0.3">
      <c r="B16" s="11" t="s">
        <v>39</v>
      </c>
      <c r="C16" s="12"/>
      <c r="D16" s="13"/>
      <c r="E16" s="13"/>
    </row>
    <row r="18" spans="2:5" ht="16.2" customHeight="1" x14ac:dyDescent="0.3">
      <c r="B18" s="23" t="s">
        <v>5</v>
      </c>
      <c r="C18" s="18" t="s">
        <v>7</v>
      </c>
      <c r="D18" s="18" t="s">
        <v>6</v>
      </c>
      <c r="E18" s="24" t="s">
        <v>35</v>
      </c>
    </row>
    <row r="19" spans="2:5" x14ac:dyDescent="0.3">
      <c r="B19" s="21" t="s">
        <v>18</v>
      </c>
      <c r="C19" s="19" t="s">
        <v>8</v>
      </c>
      <c r="D19" s="20">
        <v>0.1</v>
      </c>
      <c r="E19" s="28" t="e">
        <f>+D19*$D$14</f>
        <v>#DIV/0!</v>
      </c>
    </row>
    <row r="20" spans="2:5" x14ac:dyDescent="0.3">
      <c r="B20" s="21" t="s">
        <v>19</v>
      </c>
      <c r="C20" s="8" t="s">
        <v>9</v>
      </c>
      <c r="D20" s="7">
        <v>0.15</v>
      </c>
      <c r="E20" s="28" t="e">
        <f>+D20*$D$14</f>
        <v>#DIV/0!</v>
      </c>
    </row>
    <row r="21" spans="2:5" x14ac:dyDescent="0.3">
      <c r="B21" s="21" t="s">
        <v>20</v>
      </c>
      <c r="C21" s="8" t="s">
        <v>10</v>
      </c>
      <c r="D21" s="7">
        <v>0.2</v>
      </c>
      <c r="E21" s="28" t="e">
        <f>+D21*$D$14</f>
        <v>#DIV/0!</v>
      </c>
    </row>
    <row r="22" spans="2:5" x14ac:dyDescent="0.3">
      <c r="B22" s="21" t="s">
        <v>21</v>
      </c>
      <c r="C22" s="8" t="s">
        <v>11</v>
      </c>
      <c r="D22" s="7">
        <v>0.25</v>
      </c>
      <c r="E22" s="28" t="e">
        <f>+D22*$D$14</f>
        <v>#DIV/0!</v>
      </c>
    </row>
    <row r="23" spans="2:5" x14ac:dyDescent="0.3">
      <c r="B23" s="21" t="s">
        <v>41</v>
      </c>
      <c r="C23" s="8" t="s">
        <v>12</v>
      </c>
      <c r="D23" s="7">
        <v>0.3</v>
      </c>
      <c r="E23" s="28" t="e">
        <f>+D23*$D$14</f>
        <v>#DIV/0!</v>
      </c>
    </row>
    <row r="25" spans="2:5" ht="42" customHeight="1" x14ac:dyDescent="0.3">
      <c r="B25" s="31" t="s">
        <v>40</v>
      </c>
      <c r="C25" s="31"/>
      <c r="D25" s="31"/>
      <c r="E25" s="31"/>
    </row>
    <row r="27" spans="2:5" x14ac:dyDescent="0.3">
      <c r="B27" s="30" t="s">
        <v>37</v>
      </c>
      <c r="C27" s="30"/>
      <c r="D27" s="30"/>
      <c r="E27" s="30"/>
    </row>
    <row r="29" spans="2:5" x14ac:dyDescent="0.3">
      <c r="B29" s="4" t="s">
        <v>30</v>
      </c>
      <c r="C29" s="25">
        <v>0.1</v>
      </c>
    </row>
    <row r="31" spans="2:5" ht="13.8" customHeight="1" x14ac:dyDescent="0.3">
      <c r="B31" s="23" t="s">
        <v>5</v>
      </c>
      <c r="C31" s="18" t="s">
        <v>7</v>
      </c>
      <c r="D31" s="18" t="s">
        <v>6</v>
      </c>
      <c r="E31" s="18" t="s">
        <v>36</v>
      </c>
    </row>
    <row r="32" spans="2:5" x14ac:dyDescent="0.3">
      <c r="B32" s="21" t="s">
        <v>18</v>
      </c>
      <c r="C32" s="19" t="s">
        <v>8</v>
      </c>
      <c r="D32" s="20">
        <v>0.1</v>
      </c>
      <c r="E32" s="28">
        <f>+D32*($C$29*$D$12)</f>
        <v>0</v>
      </c>
    </row>
    <row r="33" spans="2:5" x14ac:dyDescent="0.3">
      <c r="B33" s="21" t="s">
        <v>19</v>
      </c>
      <c r="C33" s="8" t="s">
        <v>9</v>
      </c>
      <c r="D33" s="7">
        <v>0.2</v>
      </c>
      <c r="E33" s="28">
        <f t="shared" ref="E33:E36" si="0">+D33*($C$29*$D$12)</f>
        <v>0</v>
      </c>
    </row>
    <row r="34" spans="2:5" x14ac:dyDescent="0.3">
      <c r="B34" s="21" t="s">
        <v>20</v>
      </c>
      <c r="C34" s="8" t="s">
        <v>10</v>
      </c>
      <c r="D34" s="7">
        <v>0.3</v>
      </c>
      <c r="E34" s="28">
        <f t="shared" si="0"/>
        <v>0</v>
      </c>
    </row>
    <row r="35" spans="2:5" x14ac:dyDescent="0.3">
      <c r="B35" s="21" t="s">
        <v>21</v>
      </c>
      <c r="C35" s="8" t="s">
        <v>11</v>
      </c>
      <c r="D35" s="7">
        <v>0.35</v>
      </c>
      <c r="E35" s="28">
        <f t="shared" si="0"/>
        <v>0</v>
      </c>
    </row>
    <row r="36" spans="2:5" x14ac:dyDescent="0.3">
      <c r="B36" s="21" t="s">
        <v>41</v>
      </c>
      <c r="C36" s="8" t="s">
        <v>12</v>
      </c>
      <c r="D36" s="7">
        <v>0.4</v>
      </c>
      <c r="E36" s="28">
        <f t="shared" si="0"/>
        <v>0</v>
      </c>
    </row>
  </sheetData>
  <mergeCells count="3">
    <mergeCell ref="B7:E7"/>
    <mergeCell ref="B27:E27"/>
    <mergeCell ref="B25:E25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58503C180B79408DB858F3B1AC83A4" ma:contentTypeVersion="16" ma:contentTypeDescription="Crear nuevo documento." ma:contentTypeScope="" ma:versionID="51b1a079d926fafd650fb14b9c52f274">
  <xsd:schema xmlns:xsd="http://www.w3.org/2001/XMLSchema" xmlns:xs="http://www.w3.org/2001/XMLSchema" xmlns:p="http://schemas.microsoft.com/office/2006/metadata/properties" xmlns:ns2="51583f38-6b34-4a53-b61a-9b0f1a768265" xmlns:ns3="6fa7b9c8-75da-409b-8aa2-024bd3215a4c" targetNamespace="http://schemas.microsoft.com/office/2006/metadata/properties" ma:root="true" ma:fieldsID="fbe7560f8e6e75e7a931d7b0da14e84d" ns2:_="" ns3:_="">
    <xsd:import namespace="51583f38-6b34-4a53-b61a-9b0f1a768265"/>
    <xsd:import namespace="6fa7b9c8-75da-409b-8aa2-024bd3215a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83f38-6b34-4a53-b61a-9b0f1a768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ed24c46a-b909-48e7-9981-7bfb7d9e87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7b9c8-75da-409b-8aa2-024bd3215a4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b71515e-653e-44d8-be88-bc38976a3819}" ma:internalName="TaxCatchAll" ma:showField="CatchAllData" ma:web="6fa7b9c8-75da-409b-8aa2-024bd3215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583f38-6b34-4a53-b61a-9b0f1a768265">
      <Terms xmlns="http://schemas.microsoft.com/office/infopath/2007/PartnerControls"/>
    </lcf76f155ced4ddcb4097134ff3c332f>
    <TaxCatchAll xmlns="6fa7b9c8-75da-409b-8aa2-024bd3215a4c" xsi:nil="true"/>
  </documentManagement>
</p:properties>
</file>

<file path=customXml/itemProps1.xml><?xml version="1.0" encoding="utf-8"?>
<ds:datastoreItem xmlns:ds="http://schemas.openxmlformats.org/officeDocument/2006/customXml" ds:itemID="{B3705FB6-0575-4BB0-AF7E-ED0A6D1312F9}"/>
</file>

<file path=customXml/itemProps2.xml><?xml version="1.0" encoding="utf-8"?>
<ds:datastoreItem xmlns:ds="http://schemas.openxmlformats.org/officeDocument/2006/customXml" ds:itemID="{6E1B4A0F-B519-4BA5-A6C1-4B7F0AC97E2B}"/>
</file>

<file path=customXml/itemProps3.xml><?xml version="1.0" encoding="utf-8"?>
<ds:datastoreItem xmlns:ds="http://schemas.openxmlformats.org/officeDocument/2006/customXml" ds:itemID="{C89CD201-62EC-4F4D-8A07-178361278A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Carrera</vt:lpstr>
      <vt:lpstr>Nivelación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 Daniela Reinoso Calero</dc:creator>
  <cp:lastModifiedBy>Marco Elías Echeverría Arciniegas</cp:lastModifiedBy>
  <dcterms:created xsi:type="dcterms:W3CDTF">2022-05-12T17:27:00Z</dcterms:created>
  <dcterms:modified xsi:type="dcterms:W3CDTF">2023-05-15T17:56:00Z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0x0101000758503C180B79408DB858F3B1AC83A4</vt:lpwstr>
  </property>
</Properties>
</file>